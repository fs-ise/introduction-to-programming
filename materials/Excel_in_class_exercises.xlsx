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8204ED34-E384-4DF0-B4A7-2F78FD7DA1F0}" xr6:coauthVersionLast="47" xr6:coauthVersionMax="47" xr10:uidLastSave="{00000000-0000-0000-0000-000000000000}"/>
  <bookViews>
    <workbookView xWindow="-120" yWindow="-120" windowWidth="38640" windowHeight="21885" xr2:uid="{00000000-000D-0000-FFFF-FFFF00000000}"/>
  </bookViews>
  <sheets>
    <sheet name="Future_Value" sheetId="9" r:id="rId1"/>
    <sheet name="Future_Value2" sheetId="11" r:id="rId2"/>
    <sheet name="CoffeeShop" sheetId="26" r:id="rId3"/>
    <sheet name="Sales" sheetId="27" r:id="rId4"/>
    <sheet name="Moving Average" sheetId="7" r:id="rId5"/>
    <sheet name="VIP" sheetId="28" r:id="rId6"/>
    <sheet name="Installment" sheetId="13" r:id="rId7"/>
    <sheet name="Annuity" sheetId="6" r:id="rId8"/>
    <sheet name="Exam" sheetId="20" r:id="rId9"/>
    <sheet name="Department" sheetId="34" r:id="rId10"/>
    <sheet name="Bar_Sales" sheetId="24" r:id="rId11"/>
    <sheet name="Gift" sheetId="29" r:id="rId12"/>
    <sheet name="Grading" sheetId="25" r:id="rId13"/>
    <sheet name="Clients" sheetId="33" r:id="rId14"/>
  </sheets>
  <definedNames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</workbook>
</file>

<file path=xl/calcChain.xml><?xml version="1.0" encoding="utf-8"?>
<calcChain xmlns="http://schemas.openxmlformats.org/spreadsheetml/2006/main">
  <c r="B6" i="6" l="1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</calcChain>
</file>

<file path=xl/sharedStrings.xml><?xml version="1.0" encoding="utf-8"?>
<sst xmlns="http://schemas.openxmlformats.org/spreadsheetml/2006/main" count="360" uniqueCount="157">
  <si>
    <t>DAX</t>
  </si>
  <si>
    <t>Future Value:</t>
  </si>
  <si>
    <t>Investment</t>
  </si>
  <si>
    <t>Interest rate</t>
  </si>
  <si>
    <t>Investment period</t>
  </si>
  <si>
    <t>Future Value</t>
  </si>
  <si>
    <t>Installment Credit</t>
  </si>
  <si>
    <t>Credit amount</t>
  </si>
  <si>
    <t>Period</t>
  </si>
  <si>
    <t>Sum</t>
  </si>
  <si>
    <t>Annuity</t>
  </si>
  <si>
    <t>Annuity credit</t>
  </si>
  <si>
    <t>Moving average</t>
  </si>
  <si>
    <t>Date</t>
  </si>
  <si>
    <t>MA 10 days</t>
  </si>
  <si>
    <t>MA 20 days</t>
  </si>
  <si>
    <t>Redemption</t>
  </si>
  <si>
    <t>Remainder</t>
  </si>
  <si>
    <t>Interest</t>
  </si>
  <si>
    <t>Term</t>
  </si>
  <si>
    <t>Student ID</t>
  </si>
  <si>
    <t>Points (Total)</t>
  </si>
  <si>
    <t>Points Exercise 5</t>
  </si>
  <si>
    <t>Result</t>
  </si>
  <si>
    <t>Test 1</t>
  </si>
  <si>
    <t>HW 1</t>
  </si>
  <si>
    <t>Test 2</t>
  </si>
  <si>
    <t>HW 2</t>
  </si>
  <si>
    <t>Test 3</t>
  </si>
  <si>
    <t>HW 3</t>
  </si>
  <si>
    <t>Test 1 Score</t>
  </si>
  <si>
    <t>Test 2 Score</t>
  </si>
  <si>
    <t>Test 3 Score</t>
  </si>
  <si>
    <t>Average Homework Score</t>
  </si>
  <si>
    <t>Final Course Grade</t>
  </si>
  <si>
    <t>Price List</t>
  </si>
  <si>
    <t>beverage</t>
  </si>
  <si>
    <t>price per 0,2l</t>
  </si>
  <si>
    <t>tea</t>
  </si>
  <si>
    <t>coffee</t>
  </si>
  <si>
    <t>coke</t>
  </si>
  <si>
    <t>water</t>
  </si>
  <si>
    <t>milk</t>
  </si>
  <si>
    <t>Sales</t>
  </si>
  <si>
    <t>sold</t>
  </si>
  <si>
    <t>quantity</t>
  </si>
  <si>
    <t xml:space="preserve"> unit price</t>
  </si>
  <si>
    <t>total price</t>
  </si>
  <si>
    <t>CoffeeType</t>
  </si>
  <si>
    <t>Percentage</t>
  </si>
  <si>
    <t>Percentage Men</t>
  </si>
  <si>
    <t>Percentage Women</t>
  </si>
  <si>
    <t>Espresso</t>
  </si>
  <si>
    <t>Latte</t>
  </si>
  <si>
    <t>Coffee</t>
  </si>
  <si>
    <t>CustomerID</t>
  </si>
  <si>
    <t>FirstName</t>
  </si>
  <si>
    <t>LastName</t>
  </si>
  <si>
    <t>MinSales:</t>
  </si>
  <si>
    <t>Tobias</t>
  </si>
  <si>
    <t>Engler</t>
  </si>
  <si>
    <t>MaxSales:</t>
  </si>
  <si>
    <t>Heinrich</t>
  </si>
  <si>
    <t>Bell</t>
  </si>
  <si>
    <t>AverageSales:</t>
  </si>
  <si>
    <t>Clinton</t>
  </si>
  <si>
    <t>Beister</t>
  </si>
  <si>
    <t>MedianSales:</t>
  </si>
  <si>
    <t>Vesa</t>
  </si>
  <si>
    <t>Balogun</t>
  </si>
  <si>
    <t xml:space="preserve">Andrij </t>
  </si>
  <si>
    <t>Bungert</t>
  </si>
  <si>
    <t>Volkmar</t>
  </si>
  <si>
    <t>Baumgartlinger</t>
  </si>
  <si>
    <t>Günter</t>
  </si>
  <si>
    <t>Malli</t>
  </si>
  <si>
    <t>Gerold</t>
  </si>
  <si>
    <t>De Blasis</t>
  </si>
  <si>
    <t>Hilda</t>
  </si>
  <si>
    <t>Schmidt</t>
  </si>
  <si>
    <t>Merlinde</t>
  </si>
  <si>
    <t>Muto</t>
  </si>
  <si>
    <t>Charlotte</t>
  </si>
  <si>
    <t>Fridoline</t>
  </si>
  <si>
    <t>Brosinski</t>
  </si>
  <si>
    <t>Charley Ann</t>
  </si>
  <si>
    <t>Moritz</t>
  </si>
  <si>
    <t>Aleka</t>
  </si>
  <si>
    <t>Bengtsson</t>
  </si>
  <si>
    <t>Edeltraud</t>
  </si>
  <si>
    <t>Frei</t>
  </si>
  <si>
    <t>Status</t>
  </si>
  <si>
    <t>Write "Gold" in the status field if sales are higher than 3000,00€.</t>
  </si>
  <si>
    <t>Write "Gold" in the status field if sales are higher then 3000,00€ and</t>
  </si>
  <si>
    <t>"Platinum" if the sales are higher than 5000€ and Bronze for everything else.</t>
  </si>
  <si>
    <t>Bonus</t>
  </si>
  <si>
    <t>Clubcard</t>
  </si>
  <si>
    <t>Calculate the Clubcard Credits. The factors are given below.</t>
  </si>
  <si>
    <t>CreditFactor</t>
  </si>
  <si>
    <t>Credits &lt;5000</t>
  </si>
  <si>
    <t>Credits &gt;= 5000</t>
  </si>
  <si>
    <t>ChristmasGift</t>
  </si>
  <si>
    <t>Packaging</t>
  </si>
  <si>
    <t>Bronze</t>
  </si>
  <si>
    <t>Gold</t>
  </si>
  <si>
    <t>Platinum</t>
  </si>
  <si>
    <t>Pen</t>
  </si>
  <si>
    <t>red</t>
  </si>
  <si>
    <t>Cup</t>
  </si>
  <si>
    <t>golden</t>
  </si>
  <si>
    <t>Voucher</t>
  </si>
  <si>
    <t>fancy</t>
  </si>
  <si>
    <t>Name</t>
  </si>
  <si>
    <t>Client #</t>
  </si>
  <si>
    <t>Address</t>
  </si>
  <si>
    <t>City</t>
  </si>
  <si>
    <t>State &amp; ZIP</t>
  </si>
  <si>
    <t>Tiger Auto</t>
  </si>
  <si>
    <t>33 Woods</t>
  </si>
  <si>
    <t>Miami</t>
  </si>
  <si>
    <t>FL 10230</t>
  </si>
  <si>
    <t>Phil Lumber</t>
  </si>
  <si>
    <t>555 Makes</t>
  </si>
  <si>
    <t>Boston</t>
  </si>
  <si>
    <t>MA 34567</t>
  </si>
  <si>
    <t>David Eng.</t>
  </si>
  <si>
    <t>1200 Duvall</t>
  </si>
  <si>
    <t>Charleston</t>
  </si>
  <si>
    <t>SC 10004</t>
  </si>
  <si>
    <t>Stewart Inc.</t>
  </si>
  <si>
    <t>5673 Payne</t>
  </si>
  <si>
    <t>San Francisco</t>
  </si>
  <si>
    <t>CA 27002</t>
  </si>
  <si>
    <t>Client #:</t>
  </si>
  <si>
    <t>Name:</t>
  </si>
  <si>
    <t>Address:</t>
  </si>
  <si>
    <t>City:</t>
  </si>
  <si>
    <t>Department</t>
  </si>
  <si>
    <t>Salary</t>
  </si>
  <si>
    <t>Hooloway</t>
  </si>
  <si>
    <t>Clark</t>
  </si>
  <si>
    <t>Taylor</t>
  </si>
  <si>
    <t>Foster</t>
  </si>
  <si>
    <t>Watson</t>
  </si>
  <si>
    <t>Dawkins</t>
  </si>
  <si>
    <t>Parker</t>
  </si>
  <si>
    <t>Johnson</t>
  </si>
  <si>
    <t>Management</t>
  </si>
  <si>
    <t>Credit</t>
  </si>
  <si>
    <t>Marketing</t>
  </si>
  <si>
    <t>Finance</t>
  </si>
  <si>
    <t>Number of people in the Credit Department</t>
  </si>
  <si>
    <t>Sum of salaries in the Credit Department</t>
  </si>
  <si>
    <t>Average salary in the Credit Department</t>
  </si>
  <si>
    <t>Number of people with salary&lt;200000</t>
  </si>
  <si>
    <t>Sum of these salaries</t>
  </si>
  <si>
    <t>Average of these salaries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</si>
</sst>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#,##0.00\ &quot;€&quot;"/>
  </numFmts>
  <fonts count="1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2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0" fontId="4" fillId="0" borderId="0"/>
    <xf numFmtId="0" fontId="6" fillId="0" borderId="0"/>
    <xf numFmtId="0" fontId="8" fillId="0" borderId="0"/>
    <xf numFmtId="0" fontId="3" fillId="0" borderId="0"/>
    <xf numFmtId="0" fontId="2" fillId="0" borderId="0"/>
    <xf numFmtId="164" fontId="2" fillId="0" borderId="0" applyFont="0" applyFill="0" applyBorder="0" applyAlignment="0" applyProtection="0"/>
    <xf numFmtId="0" fontId="1" fillId="0" borderId="0"/>
  </cellStyleXfs>
  <cellXfs count="64">
    <xf numFmtId="0" fontId="0" fillId="0" borderId="0" xfId="0"/>
    <xf numFmtId="0" fontId="0" fillId="0" borderId="1" xfId="0" applyBorder="1"/>
    <xf numFmtId="10" fontId="0" fillId="0" borderId="0" xfId="0" applyNumberFormat="1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5" fillId="0" borderId="2" xfId="2" applyFont="1" applyBorder="1"/>
    <xf numFmtId="0" fontId="6" fillId="0" borderId="0" xfId="2"/>
    <xf numFmtId="0" fontId="6" fillId="0" borderId="2" xfId="2" applyBorder="1" applyAlignment="1">
      <alignment horizontal="center"/>
    </xf>
    <xf numFmtId="0" fontId="6" fillId="0" borderId="2" xfId="2" applyBorder="1"/>
    <xf numFmtId="0" fontId="5" fillId="0" borderId="0" xfId="2" applyFont="1"/>
    <xf numFmtId="0" fontId="6" fillId="0" borderId="0" xfId="2" applyAlignment="1">
      <alignment horizontal="center"/>
    </xf>
    <xf numFmtId="0" fontId="5" fillId="0" borderId="2" xfId="2" applyFont="1" applyBorder="1" applyAlignment="1">
      <alignment horizontal="center"/>
    </xf>
    <xf numFmtId="0" fontId="6" fillId="0" borderId="0" xfId="2" applyAlignment="1">
      <alignment horizontal="left"/>
    </xf>
    <xf numFmtId="0" fontId="5" fillId="0" borderId="0" xfId="2" applyFont="1" applyAlignment="1">
      <alignment horizontal="right"/>
    </xf>
    <xf numFmtId="10" fontId="6" fillId="0" borderId="0" xfId="2" applyNumberFormat="1" applyAlignment="1">
      <alignment horizontal="center"/>
    </xf>
    <xf numFmtId="0" fontId="5" fillId="0" borderId="0" xfId="2" applyFont="1" applyAlignment="1">
      <alignment wrapText="1"/>
    </xf>
    <xf numFmtId="2" fontId="6" fillId="3" borderId="2" xfId="2" applyNumberFormat="1" applyFill="1" applyBorder="1" applyAlignment="1">
      <alignment horizontal="center"/>
    </xf>
    <xf numFmtId="2" fontId="6" fillId="0" borderId="2" xfId="2" applyNumberFormat="1" applyBorder="1" applyAlignment="1">
      <alignment horizontal="center"/>
    </xf>
    <xf numFmtId="0" fontId="6" fillId="2" borderId="2" xfId="2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3" xfId="0" applyBorder="1"/>
    <xf numFmtId="0" fontId="8" fillId="0" borderId="0" xfId="3"/>
    <xf numFmtId="165" fontId="8" fillId="0" borderId="0" xfId="3" applyNumberFormat="1"/>
    <xf numFmtId="0" fontId="9" fillId="4" borderId="5" xfId="3" applyFont="1" applyFill="1" applyBorder="1"/>
    <xf numFmtId="0" fontId="9" fillId="4" borderId="6" xfId="3" applyFont="1" applyFill="1" applyBorder="1"/>
    <xf numFmtId="0" fontId="9" fillId="4" borderId="0" xfId="3" applyFont="1" applyFill="1"/>
    <xf numFmtId="0" fontId="10" fillId="0" borderId="0" xfId="3" applyFont="1"/>
    <xf numFmtId="0" fontId="11" fillId="5" borderId="5" xfId="3" applyFont="1" applyFill="1" applyBorder="1"/>
    <xf numFmtId="0" fontId="11" fillId="5" borderId="6" xfId="3" applyFont="1" applyFill="1" applyBorder="1"/>
    <xf numFmtId="165" fontId="11" fillId="5" borderId="6" xfId="3" applyNumberFormat="1" applyFont="1" applyFill="1" applyBorder="1"/>
    <xf numFmtId="0" fontId="11" fillId="0" borderId="5" xfId="3" applyFont="1" applyBorder="1"/>
    <xf numFmtId="0" fontId="11" fillId="0" borderId="6" xfId="3" applyFont="1" applyBorder="1"/>
    <xf numFmtId="165" fontId="11" fillId="0" borderId="6" xfId="3" applyNumberFormat="1" applyFont="1" applyBorder="1"/>
    <xf numFmtId="0" fontId="12" fillId="0" borderId="0" xfId="3" applyFont="1"/>
    <xf numFmtId="0" fontId="12" fillId="0" borderId="1" xfId="3" applyFont="1" applyBorder="1"/>
    <xf numFmtId="0" fontId="11" fillId="5" borderId="0" xfId="3" applyFont="1" applyFill="1"/>
    <xf numFmtId="0" fontId="11" fillId="0" borderId="0" xfId="3" applyFont="1"/>
    <xf numFmtId="0" fontId="13" fillId="0" borderId="0" xfId="7" applyFont="1" applyAlignment="1">
      <alignment horizontal="center"/>
    </xf>
    <xf numFmtId="0" fontId="1" fillId="0" borderId="0" xfId="7"/>
    <xf numFmtId="0" fontId="1" fillId="0" borderId="0" xfId="7" applyAlignment="1">
      <alignment horizontal="left"/>
    </xf>
    <xf numFmtId="0" fontId="14" fillId="0" borderId="7" xfId="7" applyFont="1" applyBorder="1" applyAlignment="1">
      <alignment horizontal="center" vertical="center" wrapText="1"/>
    </xf>
    <xf numFmtId="0" fontId="1" fillId="0" borderId="7" xfId="7" applyBorder="1" applyAlignment="1">
      <alignment horizontal="left" vertical="center" wrapText="1"/>
    </xf>
    <xf numFmtId="0" fontId="13" fillId="0" borderId="7" xfId="7" applyFont="1" applyBorder="1" applyAlignment="1">
      <alignment horizontal="center" vertical="center" wrapText="1"/>
    </xf>
    <xf numFmtId="0" fontId="1" fillId="0" borderId="7" xfId="7" applyBorder="1" applyAlignment="1">
      <alignment vertical="center" wrapText="1"/>
    </xf>
    <xf numFmtId="0" fontId="4" fillId="0" borderId="0" xfId="0" applyFont="1"/>
    <xf numFmtId="0" fontId="0" fillId="0" borderId="0" xfId="0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2" applyFont="1" applyAlignment="1">
      <alignment horizontal="center"/>
    </xf>
    <xf numFmtId="0" fontId="9" fillId="4" borderId="0" xfId="3" applyFont="1" applyFill="1"/>
    <xf numFmtId="0" fontId="8" fillId="0" borderId="0" xfId="3"/>
    <xf numFmtId="0" fontId="5" fillId="0" borderId="0" xfId="0" applyFont="1"/>
  </cellXfs>
  <cellStyles count="8">
    <cellStyle name="Currency 2" xfId="6" xr:uid="{00000000-0005-0000-0000-000000000000}"/>
    <cellStyle name="Normal" xfId="0" builtinId="0"/>
    <cellStyle name="Normal 2" xfId="2" xr:uid="{00000000-0005-0000-0000-000001000000}"/>
    <cellStyle name="Normal 3" xfId="5" xr:uid="{00000000-0005-0000-0000-000002000000}"/>
    <cellStyle name="Normal 4" xfId="7" xr:uid="{00000000-0005-0000-0000-000003000000}"/>
    <cellStyle name="Stand. 2" xfId="4" xr:uid="{00000000-0005-0000-0000-000004000000}"/>
    <cellStyle name="Standard 2" xfId="3" xr:uid="{00000000-0005-0000-0000-000006000000}"/>
    <cellStyle name="Title" xfId="1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B6"/>
  <sheetViews>
    <sheetView tabSelected="1" topLeftCell="A4" workbookViewId="0">
      <selection activeCell="A6" sqref="A6"/>
    </sheetView>
  </sheetViews>
  <sheetFormatPr defaultColWidth="11.5703125" defaultRowHeight="12.75" x14ac:dyDescent="0.2"/>
  <cols>
    <col min="1" max="1" width="18.28515625" customWidth="1"/>
  </cols>
  <sheetData>
    <row r="1" spans="1:2" ht="15.75" x14ac:dyDescent="0.25">
      <c r="A1" s="54" t="s">
        <v>1</v>
      </c>
      <c r="B1" s="55"/>
    </row>
    <row r="3" spans="1:2" x14ac:dyDescent="0.2">
      <c r="A3" t="s">
        <v>2</v>
      </c>
      <c r="B3">
        <v>10000</v>
      </c>
    </row>
    <row r="4" spans="1:2" x14ac:dyDescent="0.2">
      <c r="A4" t="s">
        <v>3</v>
      </c>
      <c r="B4" s="2">
        <v>0.08</v>
      </c>
    </row>
    <row r="5" spans="1:2" x14ac:dyDescent="0.2">
      <c r="A5" s="1" t="s">
        <v>4</v>
      </c>
      <c r="B5" s="1">
        <v>3</v>
      </c>
    </row>
    <row r="6" spans="1:2" x14ac:dyDescent="0.2">
      <c r="A6" t="s">
        <v>5</v>
      </c>
    </row>
  </sheetData>
  <mergeCells count="1">
    <mergeCell ref="A1:B1"/>
  </mergeCells>
  <phoneticPr fontId="7" type="noConversion"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G6"/>
  <sheetViews>
    <sheetView workbookViewId="0">
      <selection activeCell="A8" sqref="A8"/>
    </sheetView>
  </sheetViews>
  <sheetFormatPr defaultColWidth="11.5703125" defaultRowHeight="12.75" x14ac:dyDescent="0.2"/>
  <cols>
    <col min="1" max="1" width="15.42578125" customWidth="1"/>
  </cols>
  <sheetData>
    <row r="1" spans="1:7" ht="15.75" x14ac:dyDescent="0.25">
      <c r="A1" s="54" t="s">
        <v>1</v>
      </c>
      <c r="B1" s="55"/>
    </row>
    <row r="3" spans="1:7" x14ac:dyDescent="0.2">
      <c r="A3" t="s">
        <v>2</v>
      </c>
      <c r="B3">
        <v>10000</v>
      </c>
    </row>
    <row r="4" spans="1:7" x14ac:dyDescent="0.2">
      <c r="A4" t="s">
        <v>3</v>
      </c>
      <c r="B4" s="2">
        <v>0.08</v>
      </c>
      <c r="C4" s="2">
        <v>0.08</v>
      </c>
      <c r="D4" s="2">
        <v>7.0000000000000007E-2</v>
      </c>
      <c r="E4" s="2">
        <v>7.0000000000000007E-2</v>
      </c>
      <c r="F4" s="2">
        <v>0.1</v>
      </c>
      <c r="G4" s="2">
        <v>0.05</v>
      </c>
    </row>
    <row r="5" spans="1:7" x14ac:dyDescent="0.2">
      <c r="A5" s="1" t="s">
        <v>4</v>
      </c>
      <c r="B5" s="1">
        <v>3</v>
      </c>
      <c r="C5" s="1">
        <v>4</v>
      </c>
      <c r="D5" s="1">
        <v>3</v>
      </c>
      <c r="E5" s="1">
        <v>4</v>
      </c>
      <c r="F5" s="1">
        <v>2</v>
      </c>
      <c r="G5" s="1">
        <v>10</v>
      </c>
    </row>
    <row r="6" spans="1:7" x14ac:dyDescent="0.2">
      <c r="A6" t="s">
        <v>5</v>
      </c>
      <c r="B6" s="6"/>
      <c r="C6" s="6"/>
      <c r="D6" s="6"/>
      <c r="E6" s="6"/>
      <c r="F6" s="6"/>
      <c r="G6" s="6"/>
    </row>
  </sheetData>
  <mergeCells count="1">
    <mergeCell ref="A1:B1"/>
  </mergeCells>
  <phoneticPr fontId="7" type="noConversion"/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5"/>
  <sheetViews>
    <sheetView workbookViewId="0">
      <selection activeCell="D36" sqref="D36"/>
    </sheetView>
  </sheetViews>
  <sheetFormatPr defaultColWidth="11.42578125" defaultRowHeight="12.75" x14ac:dyDescent="0.2"/>
  <cols>
    <col min="3" max="3" width="15.5703125" customWidth="1"/>
    <col min="4" max="4" width="17.42578125" customWidth="1"/>
    <col min="5" max="5" width="18.5703125" customWidth="1"/>
  </cols>
  <sheetData>
    <row r="2" spans="1:4" x14ac:dyDescent="0.2">
      <c r="A2" s="29" t="s">
        <v>48</v>
      </c>
      <c r="B2" s="28" t="s">
        <v>49</v>
      </c>
      <c r="C2" s="28" t="s">
        <v>50</v>
      </c>
      <c r="D2" s="28" t="s">
        <v>51</v>
      </c>
    </row>
    <row r="3" spans="1:4" s="10" customFormat="1" x14ac:dyDescent="0.2">
      <c r="A3" s="30" t="s">
        <v>52</v>
      </c>
      <c r="B3" s="4">
        <v>50</v>
      </c>
      <c r="C3" s="4">
        <v>45</v>
      </c>
      <c r="D3" s="4">
        <v>20</v>
      </c>
    </row>
    <row r="4" spans="1:4" x14ac:dyDescent="0.2">
      <c r="A4" s="30" t="s">
        <v>53</v>
      </c>
      <c r="B4" s="4">
        <v>30</v>
      </c>
      <c r="C4" s="4">
        <v>15</v>
      </c>
      <c r="D4" s="4">
        <v>55</v>
      </c>
    </row>
    <row r="5" spans="1:4" x14ac:dyDescent="0.2">
      <c r="A5" s="30" t="s">
        <v>54</v>
      </c>
      <c r="B5" s="4">
        <v>20</v>
      </c>
      <c r="C5" s="4">
        <v>40</v>
      </c>
      <c r="D5" s="4">
        <v>25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18"/>
  <sheetViews>
    <sheetView workbookViewId="0">
      <selection activeCell="D11" sqref="D11"/>
    </sheetView>
  </sheetViews>
  <sheetFormatPr defaultColWidth="11.42578125" defaultRowHeight="15.75" x14ac:dyDescent="0.25"/>
  <cols>
    <col min="1" max="6" width="11.42578125" style="31"/>
    <col min="7" max="7" width="14" style="31" customWidth="1"/>
    <col min="8" max="8" width="11.42578125" style="31"/>
    <col min="9" max="9" width="16.7109375" style="31" customWidth="1"/>
    <col min="10" max="16384" width="11.42578125" style="31"/>
  </cols>
  <sheetData>
    <row r="2" spans="2:8" x14ac:dyDescent="0.25">
      <c r="B2" s="33" t="s">
        <v>55</v>
      </c>
      <c r="C2" s="34" t="s">
        <v>56</v>
      </c>
      <c r="D2" s="34" t="s">
        <v>57</v>
      </c>
      <c r="E2" s="35" t="s">
        <v>43</v>
      </c>
      <c r="F2" s="36"/>
      <c r="G2" s="35" t="s">
        <v>58</v>
      </c>
      <c r="H2" s="32"/>
    </row>
    <row r="3" spans="2:8" x14ac:dyDescent="0.25">
      <c r="B3" s="37">
        <v>1</v>
      </c>
      <c r="C3" s="38" t="s">
        <v>59</v>
      </c>
      <c r="D3" s="38" t="s">
        <v>60</v>
      </c>
      <c r="E3" s="39">
        <v>2345</v>
      </c>
      <c r="F3" s="36"/>
      <c r="G3" s="35" t="s">
        <v>61</v>
      </c>
      <c r="H3" s="32"/>
    </row>
    <row r="4" spans="2:8" x14ac:dyDescent="0.25">
      <c r="B4" s="40">
        <v>2</v>
      </c>
      <c r="C4" s="41" t="s">
        <v>62</v>
      </c>
      <c r="D4" s="41" t="s">
        <v>63</v>
      </c>
      <c r="E4" s="42">
        <v>4355</v>
      </c>
      <c r="F4" s="36"/>
      <c r="G4" s="35" t="s">
        <v>64</v>
      </c>
      <c r="H4" s="32"/>
    </row>
    <row r="5" spans="2:8" x14ac:dyDescent="0.25">
      <c r="B5" s="37">
        <v>3</v>
      </c>
      <c r="C5" s="38" t="s">
        <v>65</v>
      </c>
      <c r="D5" s="38" t="s">
        <v>66</v>
      </c>
      <c r="E5" s="39">
        <v>6543</v>
      </c>
      <c r="F5" s="36"/>
      <c r="G5" s="35" t="s">
        <v>67</v>
      </c>
      <c r="H5" s="32"/>
    </row>
    <row r="6" spans="2:8" x14ac:dyDescent="0.25">
      <c r="B6" s="40">
        <v>4</v>
      </c>
      <c r="C6" s="41" t="s">
        <v>68</v>
      </c>
      <c r="D6" s="41" t="s">
        <v>69</v>
      </c>
      <c r="E6" s="42">
        <v>2857</v>
      </c>
      <c r="F6" s="36"/>
      <c r="G6" s="36"/>
    </row>
    <row r="7" spans="2:8" x14ac:dyDescent="0.25">
      <c r="B7" s="37">
        <v>5</v>
      </c>
      <c r="C7" s="38" t="s">
        <v>70</v>
      </c>
      <c r="D7" s="38" t="s">
        <v>71</v>
      </c>
      <c r="E7" s="39">
        <v>2113</v>
      </c>
      <c r="F7" s="36"/>
      <c r="G7" s="36"/>
    </row>
    <row r="8" spans="2:8" x14ac:dyDescent="0.25">
      <c r="B8" s="40">
        <v>6</v>
      </c>
      <c r="C8" s="41" t="s">
        <v>72</v>
      </c>
      <c r="D8" s="41" t="s">
        <v>73</v>
      </c>
      <c r="E8" s="42">
        <v>1167</v>
      </c>
      <c r="F8" s="36"/>
      <c r="G8" s="36"/>
    </row>
    <row r="9" spans="2:8" x14ac:dyDescent="0.25">
      <c r="B9" s="37">
        <v>7</v>
      </c>
      <c r="C9" s="38" t="s">
        <v>74</v>
      </c>
      <c r="D9" s="38" t="s">
        <v>75</v>
      </c>
      <c r="E9" s="39">
        <v>9823</v>
      </c>
      <c r="F9" s="36"/>
      <c r="G9" s="36"/>
    </row>
    <row r="10" spans="2:8" x14ac:dyDescent="0.25">
      <c r="B10" s="40">
        <v>8</v>
      </c>
      <c r="C10" s="41" t="s">
        <v>76</v>
      </c>
      <c r="D10" s="41" t="s">
        <v>77</v>
      </c>
      <c r="E10" s="42">
        <v>3421</v>
      </c>
      <c r="F10" s="36"/>
      <c r="G10" s="36"/>
    </row>
    <row r="11" spans="2:8" x14ac:dyDescent="0.25">
      <c r="B11" s="37">
        <v>9</v>
      </c>
      <c r="C11" s="38" t="s">
        <v>78</v>
      </c>
      <c r="D11" s="38" t="s">
        <v>79</v>
      </c>
      <c r="E11" s="39">
        <v>7654</v>
      </c>
      <c r="F11" s="36"/>
      <c r="G11" s="36"/>
    </row>
    <row r="12" spans="2:8" x14ac:dyDescent="0.25">
      <c r="B12" s="40">
        <v>10</v>
      </c>
      <c r="C12" s="41" t="s">
        <v>80</v>
      </c>
      <c r="D12" s="41" t="s">
        <v>81</v>
      </c>
      <c r="E12" s="42">
        <v>2351</v>
      </c>
      <c r="F12" s="36"/>
      <c r="G12" s="36"/>
    </row>
    <row r="13" spans="2:8" x14ac:dyDescent="0.25">
      <c r="B13" s="37">
        <v>11</v>
      </c>
      <c r="C13" s="38" t="s">
        <v>82</v>
      </c>
      <c r="D13" s="38" t="s">
        <v>69</v>
      </c>
      <c r="E13" s="39">
        <v>9567</v>
      </c>
      <c r="F13" s="36"/>
      <c r="G13" s="36"/>
    </row>
    <row r="14" spans="2:8" x14ac:dyDescent="0.25">
      <c r="B14" s="40">
        <v>12</v>
      </c>
      <c r="C14" s="41" t="s">
        <v>83</v>
      </c>
      <c r="D14" s="41" t="s">
        <v>84</v>
      </c>
      <c r="E14" s="42">
        <v>5765</v>
      </c>
      <c r="F14" s="36"/>
      <c r="G14" s="36"/>
    </row>
    <row r="15" spans="2:8" x14ac:dyDescent="0.25">
      <c r="B15" s="37">
        <v>13</v>
      </c>
      <c r="C15" s="38" t="s">
        <v>85</v>
      </c>
      <c r="D15" s="38" t="s">
        <v>86</v>
      </c>
      <c r="E15" s="39">
        <v>4706</v>
      </c>
      <c r="F15" s="36"/>
      <c r="G15" s="36"/>
    </row>
    <row r="16" spans="2:8" x14ac:dyDescent="0.25">
      <c r="B16" s="40">
        <v>14</v>
      </c>
      <c r="C16" s="41" t="s">
        <v>87</v>
      </c>
      <c r="D16" s="41" t="s">
        <v>88</v>
      </c>
      <c r="E16" s="42">
        <v>9887</v>
      </c>
      <c r="F16" s="36"/>
      <c r="G16" s="36"/>
    </row>
    <row r="17" spans="2:7" x14ac:dyDescent="0.25">
      <c r="B17" s="37">
        <v>15</v>
      </c>
      <c r="C17" s="38" t="s">
        <v>89</v>
      </c>
      <c r="D17" s="38" t="s">
        <v>90</v>
      </c>
      <c r="E17" s="39">
        <v>2342</v>
      </c>
      <c r="F17" s="36"/>
      <c r="G17" s="36"/>
    </row>
    <row r="18" spans="2:7" x14ac:dyDescent="0.25">
      <c r="B18" s="36"/>
      <c r="C18" s="36"/>
      <c r="D18" s="36"/>
      <c r="E18" s="36"/>
      <c r="F18" s="36"/>
      <c r="G18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4"/>
  <dimension ref="A1:D103"/>
  <sheetViews>
    <sheetView workbookViewId="0">
      <selection sqref="A1:D1"/>
    </sheetView>
  </sheetViews>
  <sheetFormatPr defaultColWidth="11.5703125" defaultRowHeight="12.75" x14ac:dyDescent="0.2"/>
  <cols>
    <col min="1" max="1" width="11.5703125" style="4" customWidth="1"/>
    <col min="2" max="4" width="11.5703125" style="6" customWidth="1"/>
  </cols>
  <sheetData>
    <row r="1" spans="1:4" ht="15.75" x14ac:dyDescent="0.25">
      <c r="A1" s="56" t="s">
        <v>12</v>
      </c>
      <c r="B1" s="57"/>
      <c r="C1" s="57"/>
      <c r="D1" s="57"/>
    </row>
    <row r="3" spans="1:4" x14ac:dyDescent="0.2">
      <c r="A3" s="5" t="s">
        <v>13</v>
      </c>
      <c r="B3" s="9" t="s">
        <v>0</v>
      </c>
      <c r="C3" s="9" t="s">
        <v>14</v>
      </c>
      <c r="D3" s="9" t="s">
        <v>15</v>
      </c>
    </row>
    <row r="4" spans="1:4" x14ac:dyDescent="0.2">
      <c r="A4" s="8">
        <v>41640</v>
      </c>
      <c r="B4" s="6">
        <v>4315.3701000000001</v>
      </c>
    </row>
    <row r="5" spans="1:4" x14ac:dyDescent="0.2">
      <c r="A5" s="8">
        <v>41641</v>
      </c>
      <c r="B5" s="6">
        <v>4384.8100999999997</v>
      </c>
    </row>
    <row r="6" spans="1:4" x14ac:dyDescent="0.2">
      <c r="A6" s="8">
        <v>41642</v>
      </c>
      <c r="B6" s="6">
        <v>4352.6298999999999</v>
      </c>
    </row>
    <row r="7" spans="1:4" x14ac:dyDescent="0.2">
      <c r="A7" s="8">
        <v>41643</v>
      </c>
      <c r="B7" s="6">
        <v>4391.54</v>
      </c>
    </row>
    <row r="8" spans="1:4" x14ac:dyDescent="0.2">
      <c r="A8" s="8">
        <v>41644</v>
      </c>
      <c r="B8" s="6">
        <v>4347.2299999999996</v>
      </c>
    </row>
    <row r="9" spans="1:4" x14ac:dyDescent="0.2">
      <c r="A9" s="8">
        <v>41645</v>
      </c>
      <c r="B9" s="6">
        <v>4236.9399000000003</v>
      </c>
    </row>
    <row r="10" spans="1:4" x14ac:dyDescent="0.2">
      <c r="A10" s="8">
        <v>41646</v>
      </c>
      <c r="B10" s="6">
        <v>4087.28</v>
      </c>
    </row>
    <row r="11" spans="1:4" x14ac:dyDescent="0.2">
      <c r="A11" s="8">
        <v>41647</v>
      </c>
      <c r="B11" s="6">
        <v>4159.3999000000003</v>
      </c>
    </row>
    <row r="12" spans="1:4" x14ac:dyDescent="0.2">
      <c r="A12" s="8">
        <v>41648</v>
      </c>
      <c r="B12" s="6">
        <v>4190.0801000000001</v>
      </c>
    </row>
    <row r="13" spans="1:4" x14ac:dyDescent="0.2">
      <c r="A13" s="8">
        <v>41649</v>
      </c>
      <c r="B13" s="6">
        <v>4148.3397999999997</v>
      </c>
    </row>
    <row r="14" spans="1:4" x14ac:dyDescent="0.2">
      <c r="A14" s="8">
        <v>41650</v>
      </c>
      <c r="B14" s="6">
        <v>4184.46</v>
      </c>
    </row>
    <row r="15" spans="1:4" x14ac:dyDescent="0.2">
      <c r="A15" s="8">
        <v>41651</v>
      </c>
      <c r="B15" s="6">
        <v>4284.9399000000003</v>
      </c>
    </row>
    <row r="16" spans="1:4" x14ac:dyDescent="0.2">
      <c r="A16" s="8">
        <v>41652</v>
      </c>
      <c r="B16" s="6">
        <v>4307.9102000000003</v>
      </c>
    </row>
    <row r="17" spans="1:2" x14ac:dyDescent="0.2">
      <c r="A17" s="8">
        <v>41653</v>
      </c>
      <c r="B17" s="6">
        <v>4282.8397999999997</v>
      </c>
    </row>
    <row r="18" spans="1:2" x14ac:dyDescent="0.2">
      <c r="A18" s="8">
        <v>41654</v>
      </c>
      <c r="B18" s="6">
        <v>4220.25</v>
      </c>
    </row>
    <row r="19" spans="1:2" x14ac:dyDescent="0.2">
      <c r="A19" s="8">
        <v>41655</v>
      </c>
      <c r="B19" s="6">
        <v>4237.3100999999997</v>
      </c>
    </row>
    <row r="20" spans="1:2" x14ac:dyDescent="0.2">
      <c r="A20" s="8">
        <v>41656</v>
      </c>
      <c r="B20" s="6">
        <v>4224.7798000000003</v>
      </c>
    </row>
    <row r="21" spans="1:2" x14ac:dyDescent="0.2">
      <c r="A21" s="8">
        <v>41657</v>
      </c>
      <c r="B21" s="6">
        <v>4278.7597999999998</v>
      </c>
    </row>
    <row r="22" spans="1:2" x14ac:dyDescent="0.2">
      <c r="A22" s="8">
        <v>41658</v>
      </c>
      <c r="B22" s="6">
        <v>4391.0200000000004</v>
      </c>
    </row>
    <row r="23" spans="1:2" x14ac:dyDescent="0.2">
      <c r="A23" s="8">
        <v>41659</v>
      </c>
      <c r="B23" s="6">
        <v>4419.3798999999999</v>
      </c>
    </row>
    <row r="24" spans="1:2" x14ac:dyDescent="0.2">
      <c r="A24" s="8">
        <v>41660</v>
      </c>
      <c r="B24" s="6">
        <v>4440.3798999999999</v>
      </c>
    </row>
    <row r="25" spans="1:2" x14ac:dyDescent="0.2">
      <c r="A25" s="8">
        <v>41661</v>
      </c>
      <c r="B25" s="6">
        <v>4522.8100999999997</v>
      </c>
    </row>
    <row r="26" spans="1:2" x14ac:dyDescent="0.2">
      <c r="A26" s="8">
        <v>41662</v>
      </c>
      <c r="B26" s="6">
        <v>4532.5200000000004</v>
      </c>
    </row>
    <row r="27" spans="1:2" x14ac:dyDescent="0.2">
      <c r="A27" s="8">
        <v>41663</v>
      </c>
      <c r="B27" s="6">
        <v>4486.9502000000002</v>
      </c>
    </row>
    <row r="28" spans="1:2" x14ac:dyDescent="0.2">
      <c r="A28" s="8">
        <v>41664</v>
      </c>
      <c r="B28" s="6">
        <v>4548.46</v>
      </c>
    </row>
    <row r="29" spans="1:2" x14ac:dyDescent="0.2">
      <c r="A29" s="8">
        <v>41665</v>
      </c>
      <c r="B29" s="6">
        <v>4496.3301000000001</v>
      </c>
    </row>
    <row r="30" spans="1:2" x14ac:dyDescent="0.2">
      <c r="A30" s="8">
        <v>41666</v>
      </c>
      <c r="B30" s="6">
        <v>4563.5497999999998</v>
      </c>
    </row>
    <row r="31" spans="1:2" x14ac:dyDescent="0.2">
      <c r="A31" s="8">
        <v>41667</v>
      </c>
      <c r="B31" s="6">
        <v>4523.75</v>
      </c>
    </row>
    <row r="32" spans="1:2" x14ac:dyDescent="0.2">
      <c r="A32" s="8">
        <v>41668</v>
      </c>
      <c r="B32" s="6">
        <v>4588.4301999999998</v>
      </c>
    </row>
    <row r="33" spans="1:2" x14ac:dyDescent="0.2">
      <c r="A33" s="8">
        <v>41669</v>
      </c>
      <c r="B33" s="6">
        <v>4536.8301000000001</v>
      </c>
    </row>
    <row r="34" spans="1:2" x14ac:dyDescent="0.2">
      <c r="A34" s="8">
        <v>41670</v>
      </c>
      <c r="B34" s="6">
        <v>4502.4799999999996</v>
      </c>
    </row>
    <row r="35" spans="1:2" x14ac:dyDescent="0.2">
      <c r="A35" s="8">
        <v>41671</v>
      </c>
      <c r="B35" s="6">
        <v>4520.6400999999996</v>
      </c>
    </row>
    <row r="36" spans="1:2" x14ac:dyDescent="0.2">
      <c r="A36" s="8">
        <v>41672</v>
      </c>
      <c r="B36" s="6">
        <v>4602.3999000000003</v>
      </c>
    </row>
    <row r="37" spans="1:2" x14ac:dyDescent="0.2">
      <c r="A37" s="8">
        <v>41673</v>
      </c>
      <c r="B37" s="6">
        <v>4628.8301000000001</v>
      </c>
    </row>
    <row r="38" spans="1:2" x14ac:dyDescent="0.2">
      <c r="A38" s="8">
        <v>41674</v>
      </c>
      <c r="B38" s="6">
        <v>4582.3999000000003</v>
      </c>
    </row>
    <row r="39" spans="1:2" x14ac:dyDescent="0.2">
      <c r="A39" s="8">
        <v>41675</v>
      </c>
      <c r="B39" s="6">
        <v>4602.6499000000003</v>
      </c>
    </row>
    <row r="40" spans="1:2" x14ac:dyDescent="0.2">
      <c r="A40" s="8">
        <v>41676</v>
      </c>
      <c r="B40" s="6">
        <v>4657.54</v>
      </c>
    </row>
    <row r="41" spans="1:2" x14ac:dyDescent="0.2">
      <c r="A41" s="8">
        <v>41677</v>
      </c>
      <c r="B41" s="6">
        <v>4599.54</v>
      </c>
    </row>
    <row r="42" spans="1:2" x14ac:dyDescent="0.2">
      <c r="A42" s="8">
        <v>41678</v>
      </c>
      <c r="B42" s="6">
        <v>4635.8198000000002</v>
      </c>
    </row>
    <row r="43" spans="1:2" x14ac:dyDescent="0.2">
      <c r="A43" s="8">
        <v>41679</v>
      </c>
      <c r="B43" s="6">
        <v>4692.0298000000003</v>
      </c>
    </row>
    <row r="44" spans="1:2" x14ac:dyDescent="0.2">
      <c r="A44" s="8">
        <v>41680</v>
      </c>
      <c r="B44" s="6">
        <v>4709.8301000000001</v>
      </c>
    </row>
    <row r="45" spans="1:2" x14ac:dyDescent="0.2">
      <c r="A45" s="8">
        <v>41681</v>
      </c>
      <c r="B45" s="6">
        <v>4736.7402000000002</v>
      </c>
    </row>
    <row r="46" spans="1:2" x14ac:dyDescent="0.2">
      <c r="A46" s="8">
        <v>41682</v>
      </c>
      <c r="B46" s="6">
        <v>4757.1400999999996</v>
      </c>
    </row>
    <row r="47" spans="1:2" x14ac:dyDescent="0.2">
      <c r="A47" s="8">
        <v>41683</v>
      </c>
      <c r="B47" s="6">
        <v>4709.5801000000001</v>
      </c>
    </row>
    <row r="48" spans="1:2" x14ac:dyDescent="0.2">
      <c r="A48" s="8">
        <v>41684</v>
      </c>
      <c r="B48" s="6">
        <v>4623.3999000000003</v>
      </c>
    </row>
    <row r="49" spans="1:2" x14ac:dyDescent="0.2">
      <c r="A49" s="8">
        <v>41685</v>
      </c>
      <c r="B49" s="6">
        <v>4715.9502000000002</v>
      </c>
    </row>
    <row r="50" spans="1:2" x14ac:dyDescent="0.2">
      <c r="A50" s="8">
        <v>41686</v>
      </c>
      <c r="B50" s="6">
        <v>4780.8301000000001</v>
      </c>
    </row>
    <row r="51" spans="1:2" x14ac:dyDescent="0.2">
      <c r="A51" s="8">
        <v>41687</v>
      </c>
      <c r="B51" s="6">
        <v>4834.4301999999998</v>
      </c>
    </row>
    <row r="52" spans="1:2" x14ac:dyDescent="0.2">
      <c r="A52" s="8">
        <v>41688</v>
      </c>
      <c r="B52" s="6">
        <v>4832.7597999999998</v>
      </c>
    </row>
    <row r="53" spans="1:2" x14ac:dyDescent="0.2">
      <c r="A53" s="8">
        <v>41689</v>
      </c>
      <c r="B53" s="6">
        <v>4839.6000999999997</v>
      </c>
    </row>
    <row r="54" spans="1:2" x14ac:dyDescent="0.2">
      <c r="A54" s="8">
        <v>41690</v>
      </c>
      <c r="B54" s="6">
        <v>4889.6499000000003</v>
      </c>
    </row>
    <row r="55" spans="1:2" x14ac:dyDescent="0.2">
      <c r="A55" s="8">
        <v>41691</v>
      </c>
      <c r="B55" s="6">
        <v>4883.8500999999997</v>
      </c>
    </row>
    <row r="56" spans="1:2" x14ac:dyDescent="0.2">
      <c r="A56" s="8">
        <v>41692</v>
      </c>
      <c r="B56" s="6">
        <v>4946.6801999999998</v>
      </c>
    </row>
    <row r="57" spans="1:2" x14ac:dyDescent="0.2">
      <c r="A57" s="8">
        <v>41693</v>
      </c>
      <c r="B57" s="6">
        <v>4919.7201999999997</v>
      </c>
    </row>
    <row r="58" spans="1:2" x14ac:dyDescent="0.2">
      <c r="A58" s="8">
        <v>41694</v>
      </c>
      <c r="B58" s="6">
        <v>4936.3198000000002</v>
      </c>
    </row>
    <row r="59" spans="1:2" x14ac:dyDescent="0.2">
      <c r="A59" s="8">
        <v>41695</v>
      </c>
      <c r="B59" s="6">
        <v>5001.5497999999998</v>
      </c>
    </row>
    <row r="60" spans="1:2" x14ac:dyDescent="0.2">
      <c r="A60" s="8">
        <v>41696</v>
      </c>
      <c r="B60" s="6">
        <v>4971.3198000000002</v>
      </c>
    </row>
    <row r="61" spans="1:2" x14ac:dyDescent="0.2">
      <c r="A61" s="8">
        <v>41697</v>
      </c>
      <c r="B61" s="6">
        <v>5028.2402000000002</v>
      </c>
    </row>
    <row r="62" spans="1:2" x14ac:dyDescent="0.2">
      <c r="A62" s="8">
        <v>41698</v>
      </c>
      <c r="B62" s="6">
        <v>5096.6201000000001</v>
      </c>
    </row>
    <row r="63" spans="1:2" x14ac:dyDescent="0.2">
      <c r="A63" s="8">
        <v>41699</v>
      </c>
      <c r="B63" s="6">
        <v>5039.7597999999998</v>
      </c>
    </row>
    <row r="64" spans="1:2" x14ac:dyDescent="0.2">
      <c r="A64" s="8">
        <v>41700</v>
      </c>
      <c r="B64" s="6">
        <v>5083.1602000000003</v>
      </c>
    </row>
    <row r="65" spans="1:2" x14ac:dyDescent="0.2">
      <c r="A65" s="8">
        <v>41701</v>
      </c>
      <c r="B65" s="6">
        <v>5009.7597999999998</v>
      </c>
    </row>
    <row r="66" spans="1:2" x14ac:dyDescent="0.2">
      <c r="A66" s="8">
        <v>41702</v>
      </c>
      <c r="B66" s="6">
        <v>5102.3500999999997</v>
      </c>
    </row>
    <row r="67" spans="1:2" x14ac:dyDescent="0.2">
      <c r="A67" s="8">
        <v>41703</v>
      </c>
      <c r="B67" s="6">
        <v>5154.21</v>
      </c>
    </row>
    <row r="68" spans="1:2" x14ac:dyDescent="0.2">
      <c r="A68" s="8">
        <v>41704</v>
      </c>
      <c r="B68" s="6">
        <v>5176.6602000000003</v>
      </c>
    </row>
    <row r="69" spans="1:2" x14ac:dyDescent="0.2">
      <c r="A69" s="8">
        <v>41705</v>
      </c>
      <c r="B69" s="6">
        <v>5223.5200000000004</v>
      </c>
    </row>
    <row r="70" spans="1:2" x14ac:dyDescent="0.2">
      <c r="A70" s="8">
        <v>41706</v>
      </c>
      <c r="B70" s="6">
        <v>5271.6499000000003</v>
      </c>
    </row>
    <row r="71" spans="1:2" x14ac:dyDescent="0.2">
      <c r="A71" s="8">
        <v>41707</v>
      </c>
      <c r="B71" s="6">
        <v>5357.0497999999998</v>
      </c>
    </row>
    <row r="72" spans="1:2" x14ac:dyDescent="0.2">
      <c r="A72" s="8">
        <v>41708</v>
      </c>
      <c r="B72" s="6">
        <v>5269.46</v>
      </c>
    </row>
    <row r="73" spans="1:2" x14ac:dyDescent="0.2">
      <c r="A73" s="8">
        <v>41709</v>
      </c>
      <c r="B73" s="6">
        <v>5317.2201999999997</v>
      </c>
    </row>
    <row r="74" spans="1:2" x14ac:dyDescent="0.2">
      <c r="A74" s="8">
        <v>41710</v>
      </c>
      <c r="B74" s="6">
        <v>5317.2201999999997</v>
      </c>
    </row>
    <row r="75" spans="1:2" x14ac:dyDescent="0.2">
      <c r="A75" s="8">
        <v>41711</v>
      </c>
      <c r="B75" s="6">
        <v>5317.2201999999997</v>
      </c>
    </row>
    <row r="76" spans="1:2" x14ac:dyDescent="0.2">
      <c r="A76" s="8">
        <v>41712</v>
      </c>
      <c r="B76" s="6">
        <v>5374.7798000000003</v>
      </c>
    </row>
    <row r="77" spans="1:2" x14ac:dyDescent="0.2">
      <c r="A77" s="8">
        <v>41713</v>
      </c>
      <c r="B77" s="6">
        <v>5388.4701999999997</v>
      </c>
    </row>
    <row r="78" spans="1:2" x14ac:dyDescent="0.2">
      <c r="A78" s="8">
        <v>41714</v>
      </c>
      <c r="B78" s="6">
        <v>5324.1400999999996</v>
      </c>
    </row>
    <row r="79" spans="1:2" x14ac:dyDescent="0.2">
      <c r="A79" s="8">
        <v>41715</v>
      </c>
      <c r="B79" s="6">
        <v>5268.75</v>
      </c>
    </row>
    <row r="80" spans="1:2" x14ac:dyDescent="0.2">
      <c r="A80" s="8">
        <v>41716</v>
      </c>
      <c r="B80" s="6">
        <v>5442</v>
      </c>
    </row>
    <row r="81" spans="1:2" x14ac:dyDescent="0.2">
      <c r="A81" s="8">
        <v>41717</v>
      </c>
      <c r="B81" s="6">
        <v>5388.9399000000003</v>
      </c>
    </row>
    <row r="82" spans="1:2" x14ac:dyDescent="0.2">
      <c r="A82" s="8">
        <v>41718</v>
      </c>
      <c r="B82" s="6">
        <v>5360.6499000000003</v>
      </c>
    </row>
    <row r="83" spans="1:2" x14ac:dyDescent="0.2">
      <c r="A83" s="8">
        <v>41719</v>
      </c>
      <c r="B83" s="6">
        <v>5251.46</v>
      </c>
    </row>
    <row r="84" spans="1:2" x14ac:dyDescent="0.2">
      <c r="A84" s="8">
        <v>41720</v>
      </c>
      <c r="B84" s="6">
        <v>5144.2798000000003</v>
      </c>
    </row>
    <row r="85" spans="1:2" x14ac:dyDescent="0.2">
      <c r="A85" s="8">
        <v>41721</v>
      </c>
      <c r="B85" s="6">
        <v>5088.1298999999999</v>
      </c>
    </row>
    <row r="86" spans="1:2" x14ac:dyDescent="0.2">
      <c r="A86" s="8">
        <v>41722</v>
      </c>
      <c r="B86" s="6">
        <v>5018.6698999999999</v>
      </c>
    </row>
    <row r="87" spans="1:2" x14ac:dyDescent="0.2">
      <c r="A87" s="8">
        <v>41723</v>
      </c>
      <c r="B87" s="6">
        <v>5108.4799999999996</v>
      </c>
    </row>
    <row r="88" spans="1:2" x14ac:dyDescent="0.2">
      <c r="A88" s="8">
        <v>41724</v>
      </c>
      <c r="B88" s="6">
        <v>5107.4399000000003</v>
      </c>
    </row>
    <row r="89" spans="1:2" x14ac:dyDescent="0.2">
      <c r="A89" s="8">
        <v>41725</v>
      </c>
      <c r="B89" s="6">
        <v>5107.4399000000003</v>
      </c>
    </row>
    <row r="90" spans="1:2" x14ac:dyDescent="0.2">
      <c r="A90" s="8">
        <v>41726</v>
      </c>
      <c r="B90" s="6">
        <v>5314.6602000000003</v>
      </c>
    </row>
    <row r="91" spans="1:2" x14ac:dyDescent="0.2">
      <c r="A91" s="8">
        <v>41727</v>
      </c>
      <c r="B91" s="6">
        <v>5232.0298000000003</v>
      </c>
    </row>
    <row r="92" spans="1:2" x14ac:dyDescent="0.2">
      <c r="A92" s="8">
        <v>41728</v>
      </c>
      <c r="B92" s="6">
        <v>5229.7997999999998</v>
      </c>
    </row>
    <row r="93" spans="1:2" x14ac:dyDescent="0.2">
      <c r="A93" s="8">
        <v>41729</v>
      </c>
      <c r="B93" s="6">
        <v>5186.2299999999996</v>
      </c>
    </row>
    <row r="94" spans="1:2" x14ac:dyDescent="0.2">
      <c r="A94" s="8">
        <v>41730</v>
      </c>
      <c r="B94" s="6">
        <v>5257.5801000000001</v>
      </c>
    </row>
    <row r="95" spans="1:2" x14ac:dyDescent="0.2">
      <c r="A95" s="8">
        <v>41731</v>
      </c>
      <c r="B95" s="6">
        <v>5341.6899000000003</v>
      </c>
    </row>
    <row r="96" spans="1:2" x14ac:dyDescent="0.2">
      <c r="A96" s="8">
        <v>41732</v>
      </c>
      <c r="B96" s="6">
        <v>5297.3500999999997</v>
      </c>
    </row>
    <row r="97" spans="1:2" x14ac:dyDescent="0.2">
      <c r="A97" s="8">
        <v>41733</v>
      </c>
      <c r="B97" s="6">
        <v>5376.8798999999999</v>
      </c>
    </row>
    <row r="98" spans="1:2" x14ac:dyDescent="0.2">
      <c r="A98" s="8">
        <v>41734</v>
      </c>
      <c r="B98" s="6">
        <v>5361.2201999999997</v>
      </c>
    </row>
    <row r="99" spans="1:2" x14ac:dyDescent="0.2">
      <c r="A99" s="8">
        <v>41735</v>
      </c>
      <c r="B99" s="6">
        <v>5393.1400999999996</v>
      </c>
    </row>
    <row r="100" spans="1:2" x14ac:dyDescent="0.2">
      <c r="A100" s="8">
        <v>41736</v>
      </c>
      <c r="B100" s="6">
        <v>5342.8500999999997</v>
      </c>
    </row>
    <row r="101" spans="1:2" x14ac:dyDescent="0.2">
      <c r="A101" s="8">
        <v>41737</v>
      </c>
      <c r="B101" s="6">
        <v>5388.8999000000003</v>
      </c>
    </row>
    <row r="102" spans="1:2" x14ac:dyDescent="0.2">
      <c r="A102" s="8">
        <v>41738</v>
      </c>
      <c r="B102" s="6">
        <v>5510.98</v>
      </c>
    </row>
    <row r="103" spans="1:2" x14ac:dyDescent="0.2">
      <c r="A103" s="8">
        <v>41739</v>
      </c>
      <c r="B103" s="6">
        <v>5510.98</v>
      </c>
    </row>
  </sheetData>
  <mergeCells count="1">
    <mergeCell ref="A1:D1"/>
  </mergeCells>
  <phoneticPr fontId="7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53"/>
  <sheetViews>
    <sheetView workbookViewId="0">
      <selection activeCell="J9" sqref="J9"/>
    </sheetView>
  </sheetViews>
  <sheetFormatPr defaultColWidth="11.42578125" defaultRowHeight="14.25" x14ac:dyDescent="0.2"/>
  <cols>
    <col min="1" max="3" width="11.42578125" style="43"/>
    <col min="4" max="4" width="15" style="43" customWidth="1"/>
    <col min="5" max="7" width="11.42578125" style="43"/>
    <col min="8" max="8" width="16.42578125" style="43" customWidth="1"/>
    <col min="9" max="9" width="17.5703125" style="43" customWidth="1"/>
    <col min="10" max="16384" width="11.42578125" style="43"/>
  </cols>
  <sheetData>
    <row r="2" spans="2:13" ht="15" x14ac:dyDescent="0.25">
      <c r="B2" s="33" t="s">
        <v>55</v>
      </c>
      <c r="C2" s="34" t="s">
        <v>56</v>
      </c>
      <c r="D2" s="34" t="s">
        <v>57</v>
      </c>
      <c r="E2" s="35" t="s">
        <v>43</v>
      </c>
      <c r="F2" s="35" t="s">
        <v>91</v>
      </c>
      <c r="H2" s="35" t="s">
        <v>91</v>
      </c>
      <c r="I2" s="35"/>
      <c r="J2" s="35"/>
      <c r="K2" s="35"/>
      <c r="L2" s="35"/>
      <c r="M2" s="35"/>
    </row>
    <row r="3" spans="2:13" ht="15.95" customHeight="1" x14ac:dyDescent="0.25">
      <c r="B3" s="37">
        <v>1</v>
      </c>
      <c r="C3" s="38" t="s">
        <v>59</v>
      </c>
      <c r="D3" s="38" t="s">
        <v>60</v>
      </c>
      <c r="E3" s="39">
        <v>2345</v>
      </c>
      <c r="F3" s="38"/>
      <c r="H3" s="35" t="s">
        <v>92</v>
      </c>
      <c r="I3" s="35"/>
      <c r="J3" s="35"/>
      <c r="K3" s="35"/>
      <c r="L3" s="35"/>
      <c r="M3" s="35"/>
    </row>
    <row r="4" spans="2:13" ht="15" x14ac:dyDescent="0.25">
      <c r="B4" s="40">
        <v>2</v>
      </c>
      <c r="C4" s="41" t="s">
        <v>62</v>
      </c>
      <c r="D4" s="41" t="s">
        <v>63</v>
      </c>
      <c r="E4" s="42">
        <v>4355</v>
      </c>
      <c r="F4" s="38"/>
      <c r="H4" s="35"/>
      <c r="I4" s="35"/>
      <c r="J4" s="35"/>
      <c r="K4" s="35"/>
      <c r="L4" s="35"/>
      <c r="M4" s="35"/>
    </row>
    <row r="5" spans="2:13" x14ac:dyDescent="0.2">
      <c r="B5" s="37">
        <v>3</v>
      </c>
      <c r="C5" s="38" t="s">
        <v>65</v>
      </c>
      <c r="D5" s="38" t="s">
        <v>66</v>
      </c>
      <c r="E5" s="39">
        <v>6543</v>
      </c>
      <c r="F5" s="38"/>
    </row>
    <row r="6" spans="2:13" x14ac:dyDescent="0.2">
      <c r="B6" s="40">
        <v>4</v>
      </c>
      <c r="C6" s="41" t="s">
        <v>68</v>
      </c>
      <c r="D6" s="41" t="s">
        <v>69</v>
      </c>
      <c r="E6" s="42">
        <v>2857</v>
      </c>
      <c r="F6" s="38"/>
    </row>
    <row r="7" spans="2:13" x14ac:dyDescent="0.2">
      <c r="B7" s="37">
        <v>5</v>
      </c>
      <c r="C7" s="38" t="s">
        <v>70</v>
      </c>
      <c r="D7" s="38" t="s">
        <v>71</v>
      </c>
      <c r="E7" s="39">
        <v>2113</v>
      </c>
      <c r="F7" s="38"/>
    </row>
    <row r="8" spans="2:13" x14ac:dyDescent="0.2">
      <c r="B8" s="40">
        <v>6</v>
      </c>
      <c r="C8" s="41" t="s">
        <v>72</v>
      </c>
      <c r="D8" s="41" t="s">
        <v>73</v>
      </c>
      <c r="E8" s="42">
        <v>1167</v>
      </c>
      <c r="F8" s="38"/>
    </row>
    <row r="9" spans="2:13" x14ac:dyDescent="0.2">
      <c r="B9" s="37">
        <v>7</v>
      </c>
      <c r="C9" s="38" t="s">
        <v>74</v>
      </c>
      <c r="D9" s="38" t="s">
        <v>75</v>
      </c>
      <c r="E9" s="39">
        <v>9823</v>
      </c>
      <c r="F9" s="38"/>
    </row>
    <row r="10" spans="2:13" x14ac:dyDescent="0.2">
      <c r="B10" s="40">
        <v>8</v>
      </c>
      <c r="C10" s="41" t="s">
        <v>76</v>
      </c>
      <c r="D10" s="41" t="s">
        <v>77</v>
      </c>
      <c r="E10" s="42">
        <v>3421</v>
      </c>
      <c r="F10" s="38"/>
    </row>
    <row r="11" spans="2:13" x14ac:dyDescent="0.2">
      <c r="B11" s="37">
        <v>9</v>
      </c>
      <c r="C11" s="38" t="s">
        <v>78</v>
      </c>
      <c r="D11" s="38" t="s">
        <v>79</v>
      </c>
      <c r="E11" s="39">
        <v>7654</v>
      </c>
      <c r="F11" s="38"/>
    </row>
    <row r="12" spans="2:13" x14ac:dyDescent="0.2">
      <c r="B12" s="40">
        <v>10</v>
      </c>
      <c r="C12" s="41" t="s">
        <v>80</v>
      </c>
      <c r="D12" s="41" t="s">
        <v>81</v>
      </c>
      <c r="E12" s="42">
        <v>2351</v>
      </c>
      <c r="F12" s="38"/>
    </row>
    <row r="13" spans="2:13" x14ac:dyDescent="0.2">
      <c r="B13" s="37">
        <v>11</v>
      </c>
      <c r="C13" s="38" t="s">
        <v>82</v>
      </c>
      <c r="D13" s="38" t="s">
        <v>69</v>
      </c>
      <c r="E13" s="39">
        <v>9567</v>
      </c>
      <c r="F13" s="38"/>
    </row>
    <row r="14" spans="2:13" x14ac:dyDescent="0.2">
      <c r="B14" s="40">
        <v>12</v>
      </c>
      <c r="C14" s="41" t="s">
        <v>83</v>
      </c>
      <c r="D14" s="41" t="s">
        <v>84</v>
      </c>
      <c r="E14" s="42">
        <v>5765</v>
      </c>
      <c r="F14" s="38"/>
    </row>
    <row r="15" spans="2:13" x14ac:dyDescent="0.2">
      <c r="B15" s="37">
        <v>13</v>
      </c>
      <c r="C15" s="38" t="s">
        <v>85</v>
      </c>
      <c r="D15" s="38" t="s">
        <v>86</v>
      </c>
      <c r="E15" s="39">
        <v>4706</v>
      </c>
      <c r="F15" s="38"/>
    </row>
    <row r="16" spans="2:13" x14ac:dyDescent="0.2">
      <c r="B16" s="40">
        <v>14</v>
      </c>
      <c r="C16" s="41" t="s">
        <v>87</v>
      </c>
      <c r="D16" s="41" t="s">
        <v>88</v>
      </c>
      <c r="E16" s="42">
        <v>9887</v>
      </c>
      <c r="F16" s="38"/>
    </row>
    <row r="17" spans="2:13" x14ac:dyDescent="0.2">
      <c r="B17" s="37">
        <v>15</v>
      </c>
      <c r="C17" s="38" t="s">
        <v>89</v>
      </c>
      <c r="D17" s="38" t="s">
        <v>90</v>
      </c>
      <c r="E17" s="39">
        <v>2342</v>
      </c>
      <c r="F17" s="38"/>
    </row>
    <row r="18" spans="2:13" x14ac:dyDescent="0.2">
      <c r="B18" s="44"/>
      <c r="C18" s="44"/>
      <c r="D18" s="44"/>
      <c r="E18" s="44"/>
      <c r="F18" s="44"/>
      <c r="G18" s="44"/>
      <c r="H18" s="44"/>
      <c r="I18" s="44"/>
      <c r="J18" s="44"/>
      <c r="K18" s="44"/>
    </row>
    <row r="20" spans="2:13" ht="15" x14ac:dyDescent="0.25">
      <c r="B20" s="33" t="s">
        <v>55</v>
      </c>
      <c r="C20" s="34" t="s">
        <v>56</v>
      </c>
      <c r="D20" s="34" t="s">
        <v>57</v>
      </c>
      <c r="E20" s="35" t="s">
        <v>43</v>
      </c>
      <c r="F20" s="35" t="s">
        <v>91</v>
      </c>
      <c r="H20" s="35" t="s">
        <v>91</v>
      </c>
      <c r="I20" s="35"/>
      <c r="J20" s="35"/>
      <c r="K20" s="35"/>
      <c r="L20" s="35"/>
      <c r="M20" s="35"/>
    </row>
    <row r="21" spans="2:13" ht="15" x14ac:dyDescent="0.25">
      <c r="B21" s="37">
        <v>1</v>
      </c>
      <c r="C21" s="38" t="s">
        <v>59</v>
      </c>
      <c r="D21" s="38" t="s">
        <v>60</v>
      </c>
      <c r="E21" s="39">
        <v>2345</v>
      </c>
      <c r="F21" s="38"/>
      <c r="H21" s="35" t="s">
        <v>93</v>
      </c>
      <c r="I21" s="35"/>
      <c r="J21" s="35"/>
      <c r="K21" s="35"/>
      <c r="L21" s="35"/>
      <c r="M21" s="35"/>
    </row>
    <row r="22" spans="2:13" ht="15" x14ac:dyDescent="0.25">
      <c r="B22" s="40">
        <v>2</v>
      </c>
      <c r="C22" s="41" t="s">
        <v>62</v>
      </c>
      <c r="D22" s="41" t="s">
        <v>63</v>
      </c>
      <c r="E22" s="42">
        <v>4355</v>
      </c>
      <c r="F22" s="38"/>
      <c r="H22" s="35" t="s">
        <v>94</v>
      </c>
      <c r="I22" s="35"/>
      <c r="J22" s="35"/>
      <c r="K22" s="35"/>
      <c r="L22" s="35"/>
      <c r="M22" s="35"/>
    </row>
    <row r="23" spans="2:13" x14ac:dyDescent="0.2">
      <c r="B23" s="37">
        <v>3</v>
      </c>
      <c r="C23" s="38" t="s">
        <v>65</v>
      </c>
      <c r="D23" s="38" t="s">
        <v>66</v>
      </c>
      <c r="E23" s="39">
        <v>6543</v>
      </c>
      <c r="F23" s="38"/>
    </row>
    <row r="24" spans="2:13" x14ac:dyDescent="0.2">
      <c r="B24" s="40">
        <v>4</v>
      </c>
      <c r="C24" s="41" t="s">
        <v>68</v>
      </c>
      <c r="D24" s="41" t="s">
        <v>69</v>
      </c>
      <c r="E24" s="42">
        <v>2857</v>
      </c>
      <c r="F24" s="38"/>
    </row>
    <row r="25" spans="2:13" x14ac:dyDescent="0.2">
      <c r="B25" s="37">
        <v>5</v>
      </c>
      <c r="C25" s="38" t="s">
        <v>70</v>
      </c>
      <c r="D25" s="38" t="s">
        <v>71</v>
      </c>
      <c r="E25" s="39">
        <v>2113</v>
      </c>
      <c r="F25" s="38"/>
    </row>
    <row r="26" spans="2:13" x14ac:dyDescent="0.2">
      <c r="B26" s="40">
        <v>6</v>
      </c>
      <c r="C26" s="41" t="s">
        <v>72</v>
      </c>
      <c r="D26" s="41" t="s">
        <v>73</v>
      </c>
      <c r="E26" s="42">
        <v>1167</v>
      </c>
      <c r="F26" s="38"/>
    </row>
    <row r="27" spans="2:13" x14ac:dyDescent="0.2">
      <c r="B27" s="37">
        <v>7</v>
      </c>
      <c r="C27" s="38" t="s">
        <v>74</v>
      </c>
      <c r="D27" s="38" t="s">
        <v>75</v>
      </c>
      <c r="E27" s="39">
        <v>9823</v>
      </c>
      <c r="F27" s="38"/>
    </row>
    <row r="28" spans="2:13" x14ac:dyDescent="0.2">
      <c r="B28" s="40">
        <v>8</v>
      </c>
      <c r="C28" s="41" t="s">
        <v>76</v>
      </c>
      <c r="D28" s="41" t="s">
        <v>77</v>
      </c>
      <c r="E28" s="42">
        <v>3421</v>
      </c>
      <c r="F28" s="38"/>
    </row>
    <row r="29" spans="2:13" x14ac:dyDescent="0.2">
      <c r="B29" s="37">
        <v>9</v>
      </c>
      <c r="C29" s="38" t="s">
        <v>78</v>
      </c>
      <c r="D29" s="38" t="s">
        <v>79</v>
      </c>
      <c r="E29" s="39">
        <v>7654</v>
      </c>
      <c r="F29" s="38"/>
    </row>
    <row r="30" spans="2:13" x14ac:dyDescent="0.2">
      <c r="B30" s="40">
        <v>10</v>
      </c>
      <c r="C30" s="41" t="s">
        <v>80</v>
      </c>
      <c r="D30" s="41" t="s">
        <v>81</v>
      </c>
      <c r="E30" s="42">
        <v>2351</v>
      </c>
      <c r="F30" s="38"/>
    </row>
    <row r="31" spans="2:13" x14ac:dyDescent="0.2">
      <c r="B31" s="37">
        <v>11</v>
      </c>
      <c r="C31" s="38" t="s">
        <v>82</v>
      </c>
      <c r="D31" s="38" t="s">
        <v>69</v>
      </c>
      <c r="E31" s="39">
        <v>9567</v>
      </c>
      <c r="F31" s="38"/>
    </row>
    <row r="32" spans="2:13" x14ac:dyDescent="0.2">
      <c r="B32" s="40">
        <v>12</v>
      </c>
      <c r="C32" s="41" t="s">
        <v>83</v>
      </c>
      <c r="D32" s="41" t="s">
        <v>84</v>
      </c>
      <c r="E32" s="42">
        <v>5765</v>
      </c>
      <c r="F32" s="38"/>
    </row>
    <row r="33" spans="2:13" x14ac:dyDescent="0.2">
      <c r="B33" s="37">
        <v>13</v>
      </c>
      <c r="C33" s="38" t="s">
        <v>85</v>
      </c>
      <c r="D33" s="38" t="s">
        <v>86</v>
      </c>
      <c r="E33" s="39">
        <v>4706</v>
      </c>
      <c r="F33" s="38"/>
    </row>
    <row r="34" spans="2:13" x14ac:dyDescent="0.2">
      <c r="B34" s="40">
        <v>14</v>
      </c>
      <c r="C34" s="41" t="s">
        <v>87</v>
      </c>
      <c r="D34" s="41" t="s">
        <v>88</v>
      </c>
      <c r="E34" s="42">
        <v>9887</v>
      </c>
      <c r="F34" s="38"/>
    </row>
    <row r="35" spans="2:13" x14ac:dyDescent="0.2">
      <c r="B35" s="37">
        <v>15</v>
      </c>
      <c r="C35" s="38" t="s">
        <v>89</v>
      </c>
      <c r="D35" s="38" t="s">
        <v>90</v>
      </c>
      <c r="E35" s="39">
        <v>2342</v>
      </c>
      <c r="F35" s="38"/>
    </row>
    <row r="36" spans="2:13" x14ac:dyDescent="0.2">
      <c r="B36" s="44"/>
      <c r="C36" s="44"/>
      <c r="D36" s="44"/>
      <c r="E36" s="44"/>
      <c r="F36" s="44"/>
      <c r="G36" s="44"/>
      <c r="H36" s="44"/>
      <c r="I36" s="44"/>
      <c r="J36" s="44"/>
      <c r="K36" s="44"/>
    </row>
    <row r="38" spans="2:13" ht="15" x14ac:dyDescent="0.25">
      <c r="B38" s="33" t="s">
        <v>55</v>
      </c>
      <c r="C38" s="34" t="s">
        <v>56</v>
      </c>
      <c r="D38" s="34" t="s">
        <v>57</v>
      </c>
      <c r="E38" s="35" t="s">
        <v>43</v>
      </c>
      <c r="F38" s="35" t="s">
        <v>95</v>
      </c>
      <c r="H38" s="35" t="s">
        <v>96</v>
      </c>
      <c r="I38" s="35"/>
      <c r="J38" s="35"/>
      <c r="K38" s="35"/>
      <c r="L38" s="35"/>
      <c r="M38" s="35"/>
    </row>
    <row r="39" spans="2:13" ht="15" x14ac:dyDescent="0.25">
      <c r="B39" s="37">
        <v>1</v>
      </c>
      <c r="C39" s="38" t="s">
        <v>59</v>
      </c>
      <c r="D39" s="38" t="s">
        <v>60</v>
      </c>
      <c r="E39" s="39">
        <v>2345</v>
      </c>
      <c r="F39" s="38"/>
      <c r="H39" s="35" t="s">
        <v>97</v>
      </c>
      <c r="I39" s="35"/>
      <c r="J39" s="35"/>
      <c r="K39" s="35"/>
      <c r="L39" s="35"/>
      <c r="M39" s="35"/>
    </row>
    <row r="40" spans="2:13" ht="15" x14ac:dyDescent="0.25">
      <c r="B40" s="40">
        <v>2</v>
      </c>
      <c r="C40" s="41" t="s">
        <v>62</v>
      </c>
      <c r="D40" s="41" t="s">
        <v>63</v>
      </c>
      <c r="E40" s="42">
        <v>4355</v>
      </c>
      <c r="F40" s="38"/>
      <c r="H40" s="35"/>
      <c r="I40" s="35"/>
      <c r="J40" s="35"/>
      <c r="K40" s="35"/>
      <c r="L40" s="35"/>
      <c r="M40" s="35"/>
    </row>
    <row r="41" spans="2:13" x14ac:dyDescent="0.2">
      <c r="B41" s="37">
        <v>3</v>
      </c>
      <c r="C41" s="38" t="s">
        <v>65</v>
      </c>
      <c r="D41" s="38" t="s">
        <v>66</v>
      </c>
      <c r="E41" s="39">
        <v>6543</v>
      </c>
      <c r="F41" s="38"/>
    </row>
    <row r="42" spans="2:13" x14ac:dyDescent="0.2">
      <c r="B42" s="40">
        <v>4</v>
      </c>
      <c r="C42" s="41" t="s">
        <v>68</v>
      </c>
      <c r="D42" s="41" t="s">
        <v>69</v>
      </c>
      <c r="E42" s="42">
        <v>2857</v>
      </c>
      <c r="F42" s="38"/>
      <c r="H42" s="43" t="s">
        <v>43</v>
      </c>
      <c r="I42" s="43" t="s">
        <v>98</v>
      </c>
    </row>
    <row r="43" spans="2:13" x14ac:dyDescent="0.2">
      <c r="B43" s="37">
        <v>5</v>
      </c>
      <c r="C43" s="38" t="s">
        <v>70</v>
      </c>
      <c r="D43" s="38" t="s">
        <v>71</v>
      </c>
      <c r="E43" s="39">
        <v>2113</v>
      </c>
      <c r="F43" s="38"/>
      <c r="H43" s="43" t="s">
        <v>99</v>
      </c>
      <c r="I43" s="43">
        <v>0.7</v>
      </c>
    </row>
    <row r="44" spans="2:13" x14ac:dyDescent="0.2">
      <c r="B44" s="40">
        <v>6</v>
      </c>
      <c r="C44" s="41" t="s">
        <v>72</v>
      </c>
      <c r="D44" s="41" t="s">
        <v>73</v>
      </c>
      <c r="E44" s="42">
        <v>1167</v>
      </c>
      <c r="F44" s="38"/>
      <c r="H44" s="43" t="s">
        <v>100</v>
      </c>
      <c r="I44" s="43">
        <v>1.1000000000000001</v>
      </c>
    </row>
    <row r="45" spans="2:13" x14ac:dyDescent="0.2">
      <c r="B45" s="37">
        <v>7</v>
      </c>
      <c r="C45" s="38" t="s">
        <v>74</v>
      </c>
      <c r="D45" s="38" t="s">
        <v>75</v>
      </c>
      <c r="E45" s="39">
        <v>9823</v>
      </c>
      <c r="F45" s="38"/>
    </row>
    <row r="46" spans="2:13" x14ac:dyDescent="0.2">
      <c r="B46" s="40">
        <v>8</v>
      </c>
      <c r="C46" s="41" t="s">
        <v>76</v>
      </c>
      <c r="D46" s="41" t="s">
        <v>77</v>
      </c>
      <c r="E46" s="42">
        <v>3421</v>
      </c>
      <c r="F46" s="38"/>
    </row>
    <row r="47" spans="2:13" x14ac:dyDescent="0.2">
      <c r="B47" s="37">
        <v>9</v>
      </c>
      <c r="C47" s="38" t="s">
        <v>78</v>
      </c>
      <c r="D47" s="38" t="s">
        <v>79</v>
      </c>
      <c r="E47" s="39">
        <v>7654</v>
      </c>
      <c r="F47" s="38"/>
    </row>
    <row r="48" spans="2:13" x14ac:dyDescent="0.2">
      <c r="B48" s="40">
        <v>10</v>
      </c>
      <c r="C48" s="41" t="s">
        <v>80</v>
      </c>
      <c r="D48" s="41" t="s">
        <v>81</v>
      </c>
      <c r="E48" s="42">
        <v>2351</v>
      </c>
      <c r="F48" s="38"/>
    </row>
    <row r="49" spans="2:6" x14ac:dyDescent="0.2">
      <c r="B49" s="37">
        <v>11</v>
      </c>
      <c r="C49" s="38" t="s">
        <v>82</v>
      </c>
      <c r="D49" s="38" t="s">
        <v>69</v>
      </c>
      <c r="E49" s="39">
        <v>9567</v>
      </c>
      <c r="F49" s="38"/>
    </row>
    <row r="50" spans="2:6" x14ac:dyDescent="0.2">
      <c r="B50" s="40">
        <v>12</v>
      </c>
      <c r="C50" s="41" t="s">
        <v>83</v>
      </c>
      <c r="D50" s="41" t="s">
        <v>84</v>
      </c>
      <c r="E50" s="42">
        <v>5765</v>
      </c>
      <c r="F50" s="38"/>
    </row>
    <row r="51" spans="2:6" x14ac:dyDescent="0.2">
      <c r="B51" s="37">
        <v>13</v>
      </c>
      <c r="C51" s="38" t="s">
        <v>85</v>
      </c>
      <c r="D51" s="38" t="s">
        <v>86</v>
      </c>
      <c r="E51" s="39">
        <v>4706</v>
      </c>
      <c r="F51" s="38"/>
    </row>
    <row r="52" spans="2:6" x14ac:dyDescent="0.2">
      <c r="B52" s="40">
        <v>14</v>
      </c>
      <c r="C52" s="41" t="s">
        <v>87</v>
      </c>
      <c r="D52" s="41" t="s">
        <v>88</v>
      </c>
      <c r="E52" s="42">
        <v>9887</v>
      </c>
      <c r="F52" s="38"/>
    </row>
    <row r="53" spans="2:6" x14ac:dyDescent="0.2">
      <c r="B53" s="37">
        <v>15</v>
      </c>
      <c r="C53" s="38" t="s">
        <v>89</v>
      </c>
      <c r="D53" s="38" t="s">
        <v>90</v>
      </c>
      <c r="E53" s="39">
        <v>2342</v>
      </c>
      <c r="F53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5"/>
  <dimension ref="A1:F27"/>
  <sheetViews>
    <sheetView workbookViewId="0">
      <selection activeCell="D11" sqref="D11"/>
    </sheetView>
  </sheetViews>
  <sheetFormatPr defaultColWidth="11.5703125" defaultRowHeight="12.75" x14ac:dyDescent="0.2"/>
  <cols>
    <col min="1" max="1" width="13.7109375" customWidth="1"/>
  </cols>
  <sheetData>
    <row r="1" spans="1:6" ht="15.75" x14ac:dyDescent="0.25">
      <c r="A1" s="3" t="s">
        <v>6</v>
      </c>
    </row>
    <row r="3" spans="1:6" x14ac:dyDescent="0.2">
      <c r="A3" t="s">
        <v>7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1" t="s">
        <v>16</v>
      </c>
      <c r="B5">
        <v>10000</v>
      </c>
    </row>
    <row r="7" spans="1:6" x14ac:dyDescent="0.2">
      <c r="B7" s="5" t="s">
        <v>8</v>
      </c>
      <c r="C7" s="5" t="s">
        <v>16</v>
      </c>
      <c r="D7" s="12" t="s">
        <v>18</v>
      </c>
      <c r="E7" s="12" t="s">
        <v>17</v>
      </c>
      <c r="F7" s="5" t="s">
        <v>9</v>
      </c>
    </row>
    <row r="8" spans="1:6" x14ac:dyDescent="0.2">
      <c r="B8" s="4">
        <f>ROW()-7</f>
        <v>1</v>
      </c>
      <c r="C8" s="4"/>
      <c r="D8" s="4"/>
      <c r="E8" s="4"/>
      <c r="F8" s="4"/>
    </row>
    <row r="9" spans="1:6" x14ac:dyDescent="0.2">
      <c r="B9" s="4">
        <f>ROW()-7</f>
        <v>2</v>
      </c>
      <c r="C9" s="4"/>
      <c r="D9" s="4"/>
      <c r="E9" s="4"/>
      <c r="F9" s="4"/>
    </row>
    <row r="10" spans="1:6" x14ac:dyDescent="0.2">
      <c r="B10" s="4">
        <f t="shared" ref="B10:B27" si="0">ROW()-7</f>
        <v>3</v>
      </c>
      <c r="C10" s="4"/>
      <c r="D10" s="4"/>
      <c r="E10" s="4"/>
      <c r="F10" s="4"/>
    </row>
    <row r="11" spans="1:6" x14ac:dyDescent="0.2">
      <c r="B11" s="4">
        <f t="shared" si="0"/>
        <v>4</v>
      </c>
      <c r="C11" s="4"/>
      <c r="D11" s="4"/>
      <c r="E11" s="4"/>
      <c r="F11" s="4"/>
    </row>
    <row r="12" spans="1:6" x14ac:dyDescent="0.2">
      <c r="B12" s="4">
        <f t="shared" si="0"/>
        <v>5</v>
      </c>
      <c r="C12" s="4"/>
      <c r="D12" s="4"/>
      <c r="E12" s="4"/>
      <c r="F12" s="4"/>
    </row>
    <row r="13" spans="1:6" x14ac:dyDescent="0.2">
      <c r="B13" s="4">
        <f t="shared" si="0"/>
        <v>6</v>
      </c>
      <c r="C13" s="4"/>
      <c r="D13" s="4"/>
      <c r="E13" s="4"/>
      <c r="F13" s="4"/>
    </row>
    <row r="14" spans="1:6" x14ac:dyDescent="0.2">
      <c r="B14" s="4">
        <f t="shared" si="0"/>
        <v>7</v>
      </c>
      <c r="C14" s="4"/>
      <c r="D14" s="4"/>
      <c r="E14" s="4"/>
      <c r="F14" s="4"/>
    </row>
    <row r="15" spans="1:6" x14ac:dyDescent="0.2">
      <c r="B15" s="4">
        <f t="shared" si="0"/>
        <v>8</v>
      </c>
      <c r="C15" s="4"/>
      <c r="D15" s="4"/>
      <c r="E15" s="4"/>
      <c r="F15" s="4"/>
    </row>
    <row r="16" spans="1:6" x14ac:dyDescent="0.2">
      <c r="B16" s="4">
        <f t="shared" si="0"/>
        <v>9</v>
      </c>
      <c r="C16" s="4"/>
      <c r="D16" s="4"/>
      <c r="E16" s="4"/>
      <c r="F16" s="4"/>
    </row>
    <row r="17" spans="2:6" x14ac:dyDescent="0.2">
      <c r="B17" s="4">
        <f t="shared" si="0"/>
        <v>10</v>
      </c>
      <c r="C17" s="4"/>
      <c r="D17" s="4"/>
      <c r="E17" s="4"/>
      <c r="F17" s="4"/>
    </row>
    <row r="18" spans="2:6" x14ac:dyDescent="0.2">
      <c r="B18" s="4">
        <f t="shared" si="0"/>
        <v>11</v>
      </c>
      <c r="C18" s="4"/>
      <c r="D18" s="4"/>
      <c r="E18" s="4"/>
      <c r="F18" s="4"/>
    </row>
    <row r="19" spans="2:6" x14ac:dyDescent="0.2">
      <c r="B19" s="4">
        <f t="shared" si="0"/>
        <v>12</v>
      </c>
      <c r="C19" s="4"/>
      <c r="D19" s="4"/>
      <c r="E19" s="4"/>
      <c r="F19" s="4"/>
    </row>
    <row r="20" spans="2:6" x14ac:dyDescent="0.2">
      <c r="B20" s="4">
        <f t="shared" si="0"/>
        <v>13</v>
      </c>
      <c r="C20" s="4"/>
      <c r="D20" s="4"/>
      <c r="E20" s="4"/>
      <c r="F20" s="4"/>
    </row>
    <row r="21" spans="2:6" x14ac:dyDescent="0.2">
      <c r="B21" s="4">
        <f t="shared" si="0"/>
        <v>14</v>
      </c>
      <c r="C21" s="4"/>
      <c r="D21" s="4"/>
      <c r="E21" s="4"/>
      <c r="F21" s="4"/>
    </row>
    <row r="22" spans="2:6" x14ac:dyDescent="0.2">
      <c r="B22" s="4">
        <f t="shared" si="0"/>
        <v>15</v>
      </c>
      <c r="C22" s="4"/>
      <c r="D22" s="4"/>
      <c r="E22" s="4"/>
      <c r="F22" s="4"/>
    </row>
    <row r="23" spans="2:6" x14ac:dyDescent="0.2">
      <c r="B23" s="4">
        <f t="shared" si="0"/>
        <v>16</v>
      </c>
      <c r="C23" s="4"/>
      <c r="D23" s="4"/>
      <c r="E23" s="4"/>
      <c r="F23" s="4"/>
    </row>
    <row r="24" spans="2:6" x14ac:dyDescent="0.2">
      <c r="B24" s="4">
        <f t="shared" si="0"/>
        <v>17</v>
      </c>
      <c r="C24" s="4"/>
      <c r="D24" s="4"/>
      <c r="E24" s="4"/>
      <c r="F24" s="4"/>
    </row>
    <row r="25" spans="2:6" x14ac:dyDescent="0.2">
      <c r="B25" s="4">
        <f t="shared" si="0"/>
        <v>18</v>
      </c>
      <c r="C25" s="4"/>
      <c r="D25" s="4"/>
      <c r="E25" s="4"/>
      <c r="F25" s="4"/>
    </row>
    <row r="26" spans="2:6" x14ac:dyDescent="0.2">
      <c r="B26" s="4">
        <f t="shared" si="0"/>
        <v>19</v>
      </c>
      <c r="C26" s="4"/>
      <c r="D26" s="4"/>
      <c r="E26" s="4"/>
      <c r="F26" s="4"/>
    </row>
    <row r="27" spans="2:6" x14ac:dyDescent="0.2">
      <c r="B27" s="4">
        <f t="shared" si="0"/>
        <v>20</v>
      </c>
      <c r="C27" s="4"/>
      <c r="D27" s="4"/>
      <c r="E27" s="4"/>
      <c r="F27" s="4"/>
    </row>
  </sheetData>
  <phoneticPr fontId="7" type="noConversion"/>
  <pageMargins left="0.78740157499999996" right="0.78740157499999996" top="0.984251969" bottom="0.984251969" header="0.4921259845" footer="0.492125984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6"/>
  <dimension ref="A1:F28"/>
  <sheetViews>
    <sheetView workbookViewId="0">
      <selection activeCell="A5" sqref="A5"/>
    </sheetView>
  </sheetViews>
  <sheetFormatPr defaultColWidth="11.5703125" defaultRowHeight="12.75" x14ac:dyDescent="0.2"/>
  <cols>
    <col min="1" max="1" width="15.5703125" customWidth="1"/>
    <col min="2" max="2" width="13.140625" bestFit="1" customWidth="1"/>
  </cols>
  <sheetData>
    <row r="1" spans="1:6" ht="15.75" x14ac:dyDescent="0.25">
      <c r="A1" s="58" t="s">
        <v>11</v>
      </c>
      <c r="B1" s="59"/>
    </row>
    <row r="3" spans="1:6" x14ac:dyDescent="0.2">
      <c r="A3" t="s">
        <v>7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1" t="s">
        <v>19</v>
      </c>
      <c r="B5">
        <v>10</v>
      </c>
    </row>
    <row r="6" spans="1:6" x14ac:dyDescent="0.2">
      <c r="A6" t="s">
        <v>10</v>
      </c>
      <c r="B6" s="6">
        <f>PMT(B4,B5,B3)*-1</f>
        <v>14237.750272736472</v>
      </c>
    </row>
    <row r="8" spans="1:6" x14ac:dyDescent="0.2">
      <c r="B8" s="5" t="s">
        <v>8</v>
      </c>
      <c r="C8" s="5" t="s">
        <v>16</v>
      </c>
      <c r="D8" s="12" t="s">
        <v>18</v>
      </c>
      <c r="E8" s="12" t="s">
        <v>17</v>
      </c>
      <c r="F8" s="13" t="s">
        <v>9</v>
      </c>
    </row>
    <row r="9" spans="1:6" x14ac:dyDescent="0.2">
      <c r="B9" s="4">
        <f>ROW()-8</f>
        <v>1</v>
      </c>
      <c r="C9" s="7"/>
      <c r="D9" s="7"/>
      <c r="E9" s="7"/>
      <c r="F9" s="7"/>
    </row>
    <row r="10" spans="1:6" x14ac:dyDescent="0.2">
      <c r="B10" s="4">
        <f t="shared" ref="B10:B28" si="0">ROW()-8</f>
        <v>2</v>
      </c>
      <c r="C10" s="7"/>
      <c r="D10" s="7"/>
      <c r="E10" s="7"/>
      <c r="F10" s="7"/>
    </row>
    <row r="11" spans="1:6" x14ac:dyDescent="0.2">
      <c r="B11" s="4">
        <f t="shared" si="0"/>
        <v>3</v>
      </c>
      <c r="C11" s="7"/>
      <c r="D11" s="7"/>
      <c r="E11" s="7"/>
      <c r="F11" s="7"/>
    </row>
    <row r="12" spans="1:6" x14ac:dyDescent="0.2">
      <c r="B12" s="4">
        <f t="shared" si="0"/>
        <v>4</v>
      </c>
      <c r="C12" s="7"/>
      <c r="D12" s="7"/>
      <c r="E12" s="7"/>
      <c r="F12" s="7"/>
    </row>
    <row r="13" spans="1:6" x14ac:dyDescent="0.2">
      <c r="B13" s="4">
        <f t="shared" si="0"/>
        <v>5</v>
      </c>
      <c r="C13" s="7"/>
      <c r="D13" s="7"/>
      <c r="E13" s="7"/>
      <c r="F13" s="7"/>
    </row>
    <row r="14" spans="1:6" x14ac:dyDescent="0.2">
      <c r="B14" s="4">
        <f t="shared" si="0"/>
        <v>6</v>
      </c>
      <c r="C14" s="7"/>
      <c r="D14" s="7"/>
      <c r="E14" s="7"/>
      <c r="F14" s="7"/>
    </row>
    <row r="15" spans="1:6" x14ac:dyDescent="0.2">
      <c r="B15" s="4">
        <f t="shared" si="0"/>
        <v>7</v>
      </c>
      <c r="C15" s="7"/>
      <c r="D15" s="7"/>
      <c r="E15" s="7"/>
      <c r="F15" s="7"/>
    </row>
    <row r="16" spans="1:6" x14ac:dyDescent="0.2">
      <c r="B16" s="4">
        <f t="shared" si="0"/>
        <v>8</v>
      </c>
      <c r="C16" s="7"/>
      <c r="D16" s="7"/>
      <c r="E16" s="7"/>
      <c r="F16" s="7"/>
    </row>
    <row r="17" spans="2:6" x14ac:dyDescent="0.2">
      <c r="B17" s="4">
        <f t="shared" si="0"/>
        <v>9</v>
      </c>
      <c r="C17" s="7"/>
      <c r="D17" s="7"/>
      <c r="E17" s="7"/>
      <c r="F17" s="7"/>
    </row>
    <row r="18" spans="2:6" x14ac:dyDescent="0.2">
      <c r="B18" s="4">
        <f t="shared" si="0"/>
        <v>10</v>
      </c>
      <c r="C18" s="7"/>
      <c r="D18" s="7"/>
      <c r="E18" s="7"/>
      <c r="F18" s="7"/>
    </row>
    <row r="19" spans="2:6" x14ac:dyDescent="0.2">
      <c r="B19" s="4">
        <f t="shared" si="0"/>
        <v>11</v>
      </c>
      <c r="C19" s="7"/>
      <c r="D19" s="7"/>
      <c r="E19" s="7"/>
      <c r="F19" s="7"/>
    </row>
    <row r="20" spans="2:6" x14ac:dyDescent="0.2">
      <c r="B20" s="4">
        <f t="shared" si="0"/>
        <v>12</v>
      </c>
      <c r="C20" s="7"/>
      <c r="D20" s="7"/>
      <c r="E20" s="7"/>
      <c r="F20" s="7"/>
    </row>
    <row r="21" spans="2:6" x14ac:dyDescent="0.2">
      <c r="B21" s="4">
        <f t="shared" si="0"/>
        <v>13</v>
      </c>
      <c r="C21" s="7"/>
      <c r="D21" s="7"/>
      <c r="E21" s="7"/>
      <c r="F21" s="7"/>
    </row>
    <row r="22" spans="2:6" x14ac:dyDescent="0.2">
      <c r="B22" s="4">
        <f t="shared" si="0"/>
        <v>14</v>
      </c>
      <c r="C22" s="7"/>
      <c r="D22" s="7"/>
      <c r="E22" s="7"/>
      <c r="F22" s="7"/>
    </row>
    <row r="23" spans="2:6" x14ac:dyDescent="0.2">
      <c r="B23" s="4">
        <f t="shared" si="0"/>
        <v>15</v>
      </c>
      <c r="C23" s="7"/>
      <c r="D23" s="7"/>
      <c r="E23" s="7"/>
      <c r="F23" s="7"/>
    </row>
    <row r="24" spans="2:6" x14ac:dyDescent="0.2">
      <c r="B24" s="4">
        <f t="shared" si="0"/>
        <v>16</v>
      </c>
      <c r="C24" s="7"/>
      <c r="D24" s="7"/>
      <c r="E24" s="7"/>
      <c r="F24" s="7"/>
    </row>
    <row r="25" spans="2:6" x14ac:dyDescent="0.2">
      <c r="B25" s="4">
        <f t="shared" si="0"/>
        <v>17</v>
      </c>
      <c r="C25" s="7"/>
      <c r="D25" s="7"/>
      <c r="E25" s="7"/>
      <c r="F25" s="7"/>
    </row>
    <row r="26" spans="2:6" x14ac:dyDescent="0.2">
      <c r="B26" s="4">
        <f t="shared" si="0"/>
        <v>18</v>
      </c>
      <c r="C26" s="7"/>
      <c r="D26" s="7"/>
      <c r="E26" s="7"/>
      <c r="F26" s="7"/>
    </row>
    <row r="27" spans="2:6" x14ac:dyDescent="0.2">
      <c r="B27" s="4">
        <f t="shared" si="0"/>
        <v>19</v>
      </c>
      <c r="C27" s="7"/>
      <c r="D27" s="7"/>
      <c r="E27" s="7"/>
      <c r="F27" s="7"/>
    </row>
    <row r="28" spans="2:6" x14ac:dyDescent="0.2">
      <c r="B28" s="4">
        <f t="shared" si="0"/>
        <v>20</v>
      </c>
      <c r="C28" s="7"/>
      <c r="D28" s="7"/>
      <c r="E28" s="7"/>
      <c r="F28" s="7"/>
    </row>
  </sheetData>
  <mergeCells count="1">
    <mergeCell ref="A1:B1"/>
  </mergeCells>
  <phoneticPr fontId="7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"/>
  <sheetViews>
    <sheetView workbookViewId="0">
      <selection activeCell="D28" sqref="D28"/>
    </sheetView>
  </sheetViews>
  <sheetFormatPr defaultColWidth="9.140625" defaultRowHeight="12.75" x14ac:dyDescent="0.2"/>
  <cols>
    <col min="1" max="1" width="11.5703125" style="15" customWidth="1"/>
    <col min="2" max="2" width="13.140625" style="15" customWidth="1"/>
    <col min="3" max="3" width="17" style="15" customWidth="1"/>
    <col min="4" max="4" width="27" style="15" customWidth="1"/>
    <col min="5" max="16384" width="9.140625" style="15"/>
  </cols>
  <sheetData>
    <row r="1" spans="1:4" x14ac:dyDescent="0.2">
      <c r="A1" s="14" t="s">
        <v>20</v>
      </c>
      <c r="B1" s="14" t="s">
        <v>21</v>
      </c>
      <c r="C1" s="14" t="s">
        <v>22</v>
      </c>
      <c r="D1" s="14" t="s">
        <v>23</v>
      </c>
    </row>
    <row r="2" spans="1:4" x14ac:dyDescent="0.2">
      <c r="A2" s="16">
        <v>1</v>
      </c>
      <c r="B2" s="16">
        <v>49</v>
      </c>
      <c r="C2" s="16">
        <v>13</v>
      </c>
      <c r="D2" s="17"/>
    </row>
    <row r="3" spans="1:4" x14ac:dyDescent="0.2">
      <c r="A3" s="16">
        <v>2</v>
      </c>
      <c r="B3" s="16">
        <v>68</v>
      </c>
      <c r="C3" s="16">
        <v>15</v>
      </c>
      <c r="D3" s="17"/>
    </row>
    <row r="4" spans="1:4" x14ac:dyDescent="0.2">
      <c r="A4" s="16">
        <v>3</v>
      </c>
      <c r="B4" s="16">
        <v>89</v>
      </c>
      <c r="C4" s="16">
        <v>8</v>
      </c>
      <c r="D4" s="17"/>
    </row>
    <row r="5" spans="1:4" x14ac:dyDescent="0.2">
      <c r="A5" s="16">
        <v>4</v>
      </c>
      <c r="B5" s="16">
        <v>79</v>
      </c>
      <c r="C5" s="16">
        <v>12</v>
      </c>
      <c r="D5" s="17"/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CE2C8-4468-4C3C-8B6F-65072CE7A456}">
  <dimension ref="A1:E9"/>
  <sheetViews>
    <sheetView workbookViewId="0">
      <selection activeCell="F16" sqref="F16"/>
    </sheetView>
  </sheetViews>
  <sheetFormatPr defaultRowHeight="12.75" x14ac:dyDescent="0.2"/>
  <cols>
    <col min="1" max="1" width="16.85546875" customWidth="1"/>
    <col min="2" max="2" width="18.28515625" customWidth="1"/>
    <col min="3" max="3" width="16.5703125" customWidth="1"/>
    <col min="5" max="5" width="37.85546875" customWidth="1"/>
  </cols>
  <sheetData>
    <row r="1" spans="1:5" x14ac:dyDescent="0.2">
      <c r="A1" s="63" t="s">
        <v>112</v>
      </c>
      <c r="B1" s="63" t="s">
        <v>137</v>
      </c>
      <c r="C1" s="63" t="s">
        <v>138</v>
      </c>
    </row>
    <row r="2" spans="1:5" x14ac:dyDescent="0.2">
      <c r="A2" s="11" t="s">
        <v>139</v>
      </c>
      <c r="B2" s="11" t="s">
        <v>147</v>
      </c>
      <c r="C2">
        <v>300000</v>
      </c>
      <c r="E2" s="11" t="s">
        <v>151</v>
      </c>
    </row>
    <row r="3" spans="1:5" x14ac:dyDescent="0.2">
      <c r="A3" s="11" t="s">
        <v>140</v>
      </c>
      <c r="B3" s="11" t="s">
        <v>147</v>
      </c>
      <c r="C3">
        <v>270000</v>
      </c>
      <c r="E3" s="11" t="s">
        <v>152</v>
      </c>
    </row>
    <row r="4" spans="1:5" x14ac:dyDescent="0.2">
      <c r="A4" s="11" t="s">
        <v>141</v>
      </c>
      <c r="B4" s="11" t="s">
        <v>148</v>
      </c>
      <c r="C4">
        <v>180000</v>
      </c>
      <c r="E4" s="11" t="s">
        <v>153</v>
      </c>
    </row>
    <row r="5" spans="1:5" x14ac:dyDescent="0.2">
      <c r="A5" s="11" t="s">
        <v>142</v>
      </c>
      <c r="B5" s="11" t="s">
        <v>149</v>
      </c>
      <c r="C5">
        <v>235000</v>
      </c>
      <c r="E5" s="11" t="s">
        <v>154</v>
      </c>
    </row>
    <row r="6" spans="1:5" x14ac:dyDescent="0.2">
      <c r="A6" s="11" t="s">
        <v>143</v>
      </c>
      <c r="B6" s="11" t="s">
        <v>150</v>
      </c>
      <c r="C6">
        <v>150000</v>
      </c>
      <c r="E6" s="11" t="s">
        <v>155</v>
      </c>
    </row>
    <row r="7" spans="1:5" x14ac:dyDescent="0.2">
      <c r="A7" s="11" t="s">
        <v>144</v>
      </c>
      <c r="B7" s="11" t="s">
        <v>147</v>
      </c>
      <c r="C7">
        <v>420000</v>
      </c>
      <c r="E7" s="11" t="s">
        <v>156</v>
      </c>
    </row>
    <row r="8" spans="1:5" x14ac:dyDescent="0.2">
      <c r="A8" s="11" t="s">
        <v>145</v>
      </c>
      <c r="B8" s="11" t="s">
        <v>149</v>
      </c>
      <c r="C8">
        <v>305000</v>
      </c>
    </row>
    <row r="9" spans="1:5" x14ac:dyDescent="0.2">
      <c r="A9" s="11" t="s">
        <v>146</v>
      </c>
      <c r="B9" s="11" t="s">
        <v>148</v>
      </c>
      <c r="C9">
        <v>195000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28"/>
  <sheetViews>
    <sheetView workbookViewId="0">
      <selection activeCell="D5" sqref="D5"/>
    </sheetView>
  </sheetViews>
  <sheetFormatPr defaultColWidth="11.42578125" defaultRowHeight="12.75" x14ac:dyDescent="0.2"/>
  <cols>
    <col min="1" max="1" width="11.42578125" style="15"/>
    <col min="2" max="2" width="12.7109375" style="15" customWidth="1"/>
    <col min="3" max="3" width="13.5703125" style="15" customWidth="1"/>
    <col min="4" max="5" width="11.42578125" style="15"/>
    <col min="6" max="6" width="12.42578125" style="15" customWidth="1"/>
    <col min="7" max="7" width="12" style="15" customWidth="1"/>
    <col min="8" max="16384" width="11.42578125" style="15"/>
  </cols>
  <sheetData>
    <row r="1" spans="2:8" ht="15.75" x14ac:dyDescent="0.25">
      <c r="B1" s="60" t="s">
        <v>35</v>
      </c>
      <c r="C1" s="60"/>
    </row>
    <row r="2" spans="2:8" x14ac:dyDescent="0.2">
      <c r="B2" s="18" t="s">
        <v>36</v>
      </c>
      <c r="C2" s="18" t="s">
        <v>37</v>
      </c>
      <c r="H2" s="24"/>
    </row>
    <row r="3" spans="2:8" x14ac:dyDescent="0.2">
      <c r="B3" s="15" t="s">
        <v>38</v>
      </c>
      <c r="C3" s="15">
        <v>1.25</v>
      </c>
    </row>
    <row r="4" spans="2:8" x14ac:dyDescent="0.2">
      <c r="B4" s="15" t="s">
        <v>39</v>
      </c>
      <c r="C4" s="15">
        <v>1.5</v>
      </c>
    </row>
    <row r="5" spans="2:8" x14ac:dyDescent="0.2">
      <c r="B5" s="15" t="s">
        <v>40</v>
      </c>
      <c r="C5" s="15">
        <v>2.5</v>
      </c>
      <c r="H5" s="18"/>
    </row>
    <row r="6" spans="2:8" x14ac:dyDescent="0.2">
      <c r="B6" s="15" t="s">
        <v>41</v>
      </c>
      <c r="C6" s="15">
        <v>0.75</v>
      </c>
    </row>
    <row r="7" spans="2:8" ht="15" customHeight="1" x14ac:dyDescent="0.2">
      <c r="B7" s="15" t="s">
        <v>42</v>
      </c>
      <c r="C7" s="15">
        <v>1.75</v>
      </c>
    </row>
    <row r="9" spans="2:8" ht="15.75" x14ac:dyDescent="0.25">
      <c r="C9" s="60" t="s">
        <v>43</v>
      </c>
      <c r="D9" s="60"/>
      <c r="E9" s="60"/>
      <c r="F9" s="60"/>
    </row>
    <row r="10" spans="2:8" x14ac:dyDescent="0.2">
      <c r="C10" s="18" t="s">
        <v>44</v>
      </c>
      <c r="D10" s="18" t="s">
        <v>45</v>
      </c>
      <c r="E10" s="18" t="s">
        <v>46</v>
      </c>
      <c r="F10" s="18" t="s">
        <v>47</v>
      </c>
    </row>
    <row r="11" spans="2:8" x14ac:dyDescent="0.2">
      <c r="C11" s="15" t="s">
        <v>38</v>
      </c>
      <c r="D11" s="15">
        <v>1</v>
      </c>
    </row>
    <row r="12" spans="2:8" x14ac:dyDescent="0.2">
      <c r="C12" s="15" t="s">
        <v>41</v>
      </c>
      <c r="D12" s="15">
        <v>2</v>
      </c>
    </row>
    <row r="13" spans="2:8" x14ac:dyDescent="0.2">
      <c r="C13" s="15" t="s">
        <v>39</v>
      </c>
      <c r="D13" s="15">
        <v>2</v>
      </c>
    </row>
    <row r="14" spans="2:8" x14ac:dyDescent="0.2">
      <c r="C14" s="15" t="s">
        <v>38</v>
      </c>
      <c r="D14" s="15">
        <v>1</v>
      </c>
    </row>
    <row r="15" spans="2:8" x14ac:dyDescent="0.2">
      <c r="C15" s="15" t="s">
        <v>39</v>
      </c>
      <c r="D15" s="15">
        <v>4</v>
      </c>
    </row>
    <row r="16" spans="2:8" x14ac:dyDescent="0.2">
      <c r="C16" s="15" t="s">
        <v>38</v>
      </c>
      <c r="D16" s="15">
        <v>2</v>
      </c>
    </row>
    <row r="17" spans="3:4" x14ac:dyDescent="0.2">
      <c r="C17" s="15" t="s">
        <v>40</v>
      </c>
      <c r="D17" s="15">
        <v>1</v>
      </c>
    </row>
    <row r="18" spans="3:4" x14ac:dyDescent="0.2">
      <c r="C18" s="15" t="s">
        <v>39</v>
      </c>
      <c r="D18" s="15">
        <v>3</v>
      </c>
    </row>
    <row r="19" spans="3:4" x14ac:dyDescent="0.2">
      <c r="C19" s="15" t="s">
        <v>41</v>
      </c>
      <c r="D19" s="15">
        <v>2</v>
      </c>
    </row>
    <row r="20" spans="3:4" x14ac:dyDescent="0.2">
      <c r="C20" s="15" t="s">
        <v>40</v>
      </c>
      <c r="D20" s="15">
        <v>2</v>
      </c>
    </row>
    <row r="21" spans="3:4" x14ac:dyDescent="0.2">
      <c r="C21" s="15" t="s">
        <v>39</v>
      </c>
      <c r="D21" s="15">
        <v>3</v>
      </c>
    </row>
    <row r="22" spans="3:4" x14ac:dyDescent="0.2">
      <c r="C22" s="15" t="s">
        <v>39</v>
      </c>
      <c r="D22" s="15">
        <v>1</v>
      </c>
    </row>
    <row r="23" spans="3:4" x14ac:dyDescent="0.2">
      <c r="C23" s="15" t="s">
        <v>41</v>
      </c>
      <c r="D23" s="15">
        <v>1</v>
      </c>
    </row>
    <row r="24" spans="3:4" x14ac:dyDescent="0.2">
      <c r="C24" s="15" t="s">
        <v>42</v>
      </c>
      <c r="D24" s="15">
        <v>1</v>
      </c>
    </row>
    <row r="25" spans="3:4" x14ac:dyDescent="0.2">
      <c r="C25" s="15" t="s">
        <v>40</v>
      </c>
      <c r="D25" s="15">
        <v>3</v>
      </c>
    </row>
    <row r="26" spans="3:4" x14ac:dyDescent="0.2">
      <c r="C26" s="15" t="s">
        <v>41</v>
      </c>
      <c r="D26" s="15">
        <v>1</v>
      </c>
    </row>
    <row r="27" spans="3:4" x14ac:dyDescent="0.2">
      <c r="C27" s="15" t="s">
        <v>40</v>
      </c>
      <c r="D27" s="15">
        <v>1</v>
      </c>
    </row>
    <row r="28" spans="3:4" x14ac:dyDescent="0.2">
      <c r="C28" s="15" t="s">
        <v>42</v>
      </c>
      <c r="D28" s="15">
        <v>2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H22"/>
  <sheetViews>
    <sheetView workbookViewId="0">
      <selection activeCell="K20" sqref="K20"/>
    </sheetView>
  </sheetViews>
  <sheetFormatPr defaultColWidth="11.42578125" defaultRowHeight="15.75" x14ac:dyDescent="0.25"/>
  <cols>
    <col min="1" max="3" width="11.42578125" style="31"/>
    <col min="4" max="4" width="16.42578125" style="31" customWidth="1"/>
    <col min="5" max="6" width="11.42578125" style="31"/>
    <col min="7" max="7" width="15" style="31" customWidth="1"/>
    <col min="8" max="16384" width="11.42578125" style="31"/>
  </cols>
  <sheetData>
    <row r="2" spans="2:8" x14ac:dyDescent="0.25">
      <c r="B2" s="33" t="s">
        <v>55</v>
      </c>
      <c r="C2" s="34" t="s">
        <v>56</v>
      </c>
      <c r="D2" s="34" t="s">
        <v>57</v>
      </c>
      <c r="E2" s="35" t="s">
        <v>43</v>
      </c>
      <c r="F2" s="35" t="s">
        <v>91</v>
      </c>
      <c r="G2" s="35" t="s">
        <v>101</v>
      </c>
      <c r="H2" s="35" t="s">
        <v>102</v>
      </c>
    </row>
    <row r="3" spans="2:8" x14ac:dyDescent="0.25">
      <c r="B3" s="37">
        <v>1</v>
      </c>
      <c r="C3" s="38" t="s">
        <v>59</v>
      </c>
      <c r="D3" s="38" t="s">
        <v>60</v>
      </c>
      <c r="E3" s="39">
        <v>2345</v>
      </c>
      <c r="F3" s="38" t="s">
        <v>103</v>
      </c>
      <c r="G3" s="38"/>
      <c r="H3" s="38"/>
    </row>
    <row r="4" spans="2:8" x14ac:dyDescent="0.25">
      <c r="B4" s="40">
        <v>2</v>
      </c>
      <c r="C4" s="41" t="s">
        <v>62</v>
      </c>
      <c r="D4" s="41" t="s">
        <v>63</v>
      </c>
      <c r="E4" s="42">
        <v>4355</v>
      </c>
      <c r="F4" s="41" t="s">
        <v>104</v>
      </c>
      <c r="G4" s="41"/>
      <c r="H4" s="41"/>
    </row>
    <row r="5" spans="2:8" x14ac:dyDescent="0.25">
      <c r="B5" s="37">
        <v>3</v>
      </c>
      <c r="C5" s="38" t="s">
        <v>65</v>
      </c>
      <c r="D5" s="38" t="s">
        <v>66</v>
      </c>
      <c r="E5" s="39">
        <v>6543</v>
      </c>
      <c r="F5" s="38" t="s">
        <v>105</v>
      </c>
      <c r="G5" s="38"/>
      <c r="H5" s="38"/>
    </row>
    <row r="6" spans="2:8" x14ac:dyDescent="0.25">
      <c r="B6" s="40">
        <v>4</v>
      </c>
      <c r="C6" s="41" t="s">
        <v>68</v>
      </c>
      <c r="D6" s="41" t="s">
        <v>69</v>
      </c>
      <c r="E6" s="42">
        <v>2857</v>
      </c>
      <c r="F6" s="41" t="s">
        <v>103</v>
      </c>
      <c r="G6" s="41"/>
      <c r="H6" s="41"/>
    </row>
    <row r="7" spans="2:8" x14ac:dyDescent="0.25">
      <c r="B7" s="37">
        <v>5</v>
      </c>
      <c r="C7" s="38" t="s">
        <v>70</v>
      </c>
      <c r="D7" s="38" t="s">
        <v>71</v>
      </c>
      <c r="E7" s="39">
        <v>2113</v>
      </c>
      <c r="F7" s="38" t="s">
        <v>103</v>
      </c>
      <c r="G7" s="38"/>
      <c r="H7" s="38"/>
    </row>
    <row r="8" spans="2:8" x14ac:dyDescent="0.25">
      <c r="B8" s="40">
        <v>6</v>
      </c>
      <c r="C8" s="41" t="s">
        <v>72</v>
      </c>
      <c r="D8" s="41" t="s">
        <v>73</v>
      </c>
      <c r="E8" s="42">
        <v>1167</v>
      </c>
      <c r="F8" s="41" t="s">
        <v>103</v>
      </c>
      <c r="G8" s="41"/>
      <c r="H8" s="41"/>
    </row>
    <row r="9" spans="2:8" x14ac:dyDescent="0.25">
      <c r="B9" s="37">
        <v>7</v>
      </c>
      <c r="C9" s="38" t="s">
        <v>74</v>
      </c>
      <c r="D9" s="38" t="s">
        <v>75</v>
      </c>
      <c r="E9" s="39">
        <v>9823</v>
      </c>
      <c r="F9" s="38" t="s">
        <v>105</v>
      </c>
      <c r="G9" s="38"/>
      <c r="H9" s="38"/>
    </row>
    <row r="10" spans="2:8" x14ac:dyDescent="0.25">
      <c r="B10" s="40">
        <v>8</v>
      </c>
      <c r="C10" s="41" t="s">
        <v>76</v>
      </c>
      <c r="D10" s="41" t="s">
        <v>77</v>
      </c>
      <c r="E10" s="42">
        <v>3421</v>
      </c>
      <c r="F10" s="41" t="s">
        <v>104</v>
      </c>
      <c r="G10" s="41"/>
      <c r="H10" s="41"/>
    </row>
    <row r="11" spans="2:8" x14ac:dyDescent="0.25">
      <c r="B11" s="37">
        <v>9</v>
      </c>
      <c r="C11" s="38" t="s">
        <v>78</v>
      </c>
      <c r="D11" s="38" t="s">
        <v>79</v>
      </c>
      <c r="E11" s="39">
        <v>7654</v>
      </c>
      <c r="F11" s="38" t="s">
        <v>105</v>
      </c>
      <c r="G11" s="38"/>
      <c r="H11" s="38"/>
    </row>
    <row r="12" spans="2:8" x14ac:dyDescent="0.25">
      <c r="B12" s="40">
        <v>10</v>
      </c>
      <c r="C12" s="41" t="s">
        <v>80</v>
      </c>
      <c r="D12" s="41" t="s">
        <v>81</v>
      </c>
      <c r="E12" s="42">
        <v>2351</v>
      </c>
      <c r="F12" s="41" t="s">
        <v>103</v>
      </c>
      <c r="G12" s="41"/>
      <c r="H12" s="41"/>
    </row>
    <row r="13" spans="2:8" x14ac:dyDescent="0.25">
      <c r="B13" s="37">
        <v>11</v>
      </c>
      <c r="C13" s="38" t="s">
        <v>82</v>
      </c>
      <c r="D13" s="38" t="s">
        <v>69</v>
      </c>
      <c r="E13" s="39">
        <v>9567</v>
      </c>
      <c r="F13" s="38" t="s">
        <v>105</v>
      </c>
      <c r="G13" s="38"/>
      <c r="H13" s="38"/>
    </row>
    <row r="14" spans="2:8" x14ac:dyDescent="0.25">
      <c r="B14" s="40">
        <v>12</v>
      </c>
      <c r="C14" s="41" t="s">
        <v>83</v>
      </c>
      <c r="D14" s="41" t="s">
        <v>84</v>
      </c>
      <c r="E14" s="42">
        <v>5765</v>
      </c>
      <c r="F14" s="41" t="s">
        <v>105</v>
      </c>
      <c r="G14" s="41"/>
      <c r="H14" s="41"/>
    </row>
    <row r="15" spans="2:8" x14ac:dyDescent="0.25">
      <c r="B15" s="37">
        <v>13</v>
      </c>
      <c r="C15" s="38" t="s">
        <v>85</v>
      </c>
      <c r="D15" s="38" t="s">
        <v>86</v>
      </c>
      <c r="E15" s="39">
        <v>4706</v>
      </c>
      <c r="F15" s="38" t="s">
        <v>104</v>
      </c>
      <c r="G15" s="38"/>
      <c r="H15" s="38"/>
    </row>
    <row r="16" spans="2:8" x14ac:dyDescent="0.25">
      <c r="B16" s="40">
        <v>14</v>
      </c>
      <c r="C16" s="41" t="s">
        <v>87</v>
      </c>
      <c r="D16" s="41" t="s">
        <v>88</v>
      </c>
      <c r="E16" s="42">
        <v>9887</v>
      </c>
      <c r="F16" s="41" t="s">
        <v>105</v>
      </c>
      <c r="G16" s="41"/>
      <c r="H16" s="41"/>
    </row>
    <row r="17" spans="2:8" x14ac:dyDescent="0.25">
      <c r="B17" s="37">
        <v>15</v>
      </c>
      <c r="C17" s="38" t="s">
        <v>89</v>
      </c>
      <c r="D17" s="38" t="s">
        <v>90</v>
      </c>
      <c r="E17" s="39">
        <v>2342</v>
      </c>
      <c r="F17" s="38" t="s">
        <v>103</v>
      </c>
      <c r="G17" s="38"/>
      <c r="H17" s="38"/>
    </row>
    <row r="18" spans="2:8" x14ac:dyDescent="0.25">
      <c r="B18" s="36"/>
      <c r="C18" s="36"/>
      <c r="D18" s="36"/>
      <c r="E18" s="36"/>
      <c r="F18" s="36"/>
      <c r="G18" s="36"/>
      <c r="H18" s="36"/>
    </row>
    <row r="19" spans="2:8" x14ac:dyDescent="0.25">
      <c r="B19" s="61" t="s">
        <v>101</v>
      </c>
      <c r="C19" s="62"/>
      <c r="D19" s="36"/>
      <c r="E19" s="35" t="s">
        <v>102</v>
      </c>
      <c r="F19" s="36"/>
      <c r="G19" s="36"/>
      <c r="H19" s="36"/>
    </row>
    <row r="20" spans="2:8" x14ac:dyDescent="0.25">
      <c r="B20" s="45" t="s">
        <v>103</v>
      </c>
      <c r="C20" s="45" t="s">
        <v>106</v>
      </c>
      <c r="D20" s="36"/>
      <c r="E20" s="45" t="s">
        <v>103</v>
      </c>
      <c r="F20" s="45" t="s">
        <v>107</v>
      </c>
      <c r="G20" s="36"/>
      <c r="H20" s="36"/>
    </row>
    <row r="21" spans="2:8" x14ac:dyDescent="0.25">
      <c r="B21" s="46" t="s">
        <v>104</v>
      </c>
      <c r="C21" s="36" t="s">
        <v>108</v>
      </c>
      <c r="D21" s="36"/>
      <c r="E21" s="46" t="s">
        <v>104</v>
      </c>
      <c r="F21" s="36" t="s">
        <v>109</v>
      </c>
      <c r="G21" s="36"/>
      <c r="H21" s="36"/>
    </row>
    <row r="22" spans="2:8" x14ac:dyDescent="0.25">
      <c r="B22" s="45" t="s">
        <v>105</v>
      </c>
      <c r="C22" s="45" t="s">
        <v>110</v>
      </c>
      <c r="D22" s="36"/>
      <c r="E22" s="45" t="s">
        <v>105</v>
      </c>
      <c r="F22" s="45" t="s">
        <v>111</v>
      </c>
      <c r="G22" s="36"/>
      <c r="H22" s="36"/>
    </row>
  </sheetData>
  <mergeCells count="1">
    <mergeCell ref="B19:C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3"/>
  <sheetViews>
    <sheetView workbookViewId="0">
      <selection activeCell="K20" sqref="K20"/>
    </sheetView>
  </sheetViews>
  <sheetFormatPr defaultColWidth="9.140625" defaultRowHeight="12.75" x14ac:dyDescent="0.2"/>
  <cols>
    <col min="1" max="1" width="9.7109375" style="15" bestFit="1" customWidth="1"/>
    <col min="2" max="4" width="9.5703125" style="15" customWidth="1"/>
    <col min="5" max="5" width="7.140625" style="15" customWidth="1"/>
    <col min="6" max="6" width="9.42578125" style="15" customWidth="1"/>
    <col min="7" max="7" width="8" style="15" customWidth="1"/>
    <col min="8" max="16384" width="9.140625" style="15"/>
  </cols>
  <sheetData>
    <row r="1" spans="1:7" s="18" customFormat="1" x14ac:dyDescent="0.2">
      <c r="A1" s="20" t="s">
        <v>20</v>
      </c>
      <c r="B1" s="20" t="s">
        <v>24</v>
      </c>
      <c r="C1" s="20" t="s">
        <v>25</v>
      </c>
      <c r="D1" s="20" t="s">
        <v>26</v>
      </c>
      <c r="E1" s="20" t="s">
        <v>27</v>
      </c>
      <c r="F1" s="20" t="s">
        <v>28</v>
      </c>
      <c r="G1" s="20" t="s">
        <v>29</v>
      </c>
    </row>
    <row r="2" spans="1:7" x14ac:dyDescent="0.2">
      <c r="A2" s="16">
        <v>1</v>
      </c>
      <c r="B2" s="16">
        <v>78</v>
      </c>
      <c r="C2" s="16">
        <v>10</v>
      </c>
      <c r="D2" s="16">
        <v>93</v>
      </c>
      <c r="E2" s="16">
        <v>11</v>
      </c>
      <c r="F2" s="16">
        <v>85</v>
      </c>
      <c r="G2" s="16">
        <v>13</v>
      </c>
    </row>
    <row r="3" spans="1:7" x14ac:dyDescent="0.2">
      <c r="A3" s="16">
        <v>2</v>
      </c>
      <c r="B3" s="16">
        <v>89</v>
      </c>
      <c r="C3" s="16">
        <v>15</v>
      </c>
      <c r="D3" s="16">
        <v>88</v>
      </c>
      <c r="E3" s="16">
        <v>11</v>
      </c>
      <c r="F3" s="16">
        <v>83</v>
      </c>
      <c r="G3" s="16">
        <v>15</v>
      </c>
    </row>
    <row r="4" spans="1:7" x14ac:dyDescent="0.2">
      <c r="A4" s="27">
        <v>3</v>
      </c>
      <c r="B4" s="27">
        <v>84</v>
      </c>
      <c r="C4" s="27">
        <v>12</v>
      </c>
      <c r="D4" s="27">
        <v>76</v>
      </c>
      <c r="E4" s="27">
        <v>15</v>
      </c>
      <c r="F4" s="27">
        <v>55</v>
      </c>
      <c r="G4" s="27">
        <v>14</v>
      </c>
    </row>
    <row r="5" spans="1:7" x14ac:dyDescent="0.2">
      <c r="A5" s="16">
        <v>4</v>
      </c>
      <c r="B5" s="16">
        <v>64</v>
      </c>
      <c r="C5" s="16">
        <v>13</v>
      </c>
      <c r="D5" s="16">
        <v>72</v>
      </c>
      <c r="E5" s="16">
        <v>14</v>
      </c>
      <c r="F5" s="16">
        <v>79</v>
      </c>
      <c r="G5" s="16">
        <v>14</v>
      </c>
    </row>
    <row r="6" spans="1:7" x14ac:dyDescent="0.2">
      <c r="A6" s="16">
        <v>5</v>
      </c>
      <c r="B6" s="16">
        <v>77</v>
      </c>
      <c r="C6" s="16">
        <v>15</v>
      </c>
      <c r="D6" s="16">
        <v>85</v>
      </c>
      <c r="E6" s="16">
        <v>13</v>
      </c>
      <c r="F6" s="16">
        <v>82</v>
      </c>
      <c r="G6" s="16">
        <v>14</v>
      </c>
    </row>
    <row r="7" spans="1:7" x14ac:dyDescent="0.2">
      <c r="A7" s="16">
        <v>6</v>
      </c>
      <c r="B7" s="16">
        <v>92</v>
      </c>
      <c r="C7" s="16">
        <v>15</v>
      </c>
      <c r="D7" s="16">
        <v>90</v>
      </c>
      <c r="E7" s="16">
        <v>15</v>
      </c>
      <c r="F7" s="16">
        <v>67</v>
      </c>
      <c r="G7" s="16">
        <v>8</v>
      </c>
    </row>
    <row r="8" spans="1:7" x14ac:dyDescent="0.2">
      <c r="A8" s="16">
        <v>7</v>
      </c>
      <c r="B8" s="16">
        <v>65</v>
      </c>
      <c r="C8" s="16">
        <v>9</v>
      </c>
      <c r="D8" s="16">
        <v>87</v>
      </c>
      <c r="E8" s="16">
        <v>11</v>
      </c>
      <c r="F8" s="16">
        <v>77</v>
      </c>
      <c r="G8" s="16">
        <v>0</v>
      </c>
    </row>
    <row r="9" spans="1:7" x14ac:dyDescent="0.2">
      <c r="A9" s="16">
        <v>8</v>
      </c>
      <c r="B9" s="16">
        <v>58</v>
      </c>
      <c r="C9" s="16">
        <v>12</v>
      </c>
      <c r="D9" s="16">
        <v>91</v>
      </c>
      <c r="E9" s="16">
        <v>10</v>
      </c>
      <c r="F9" s="16">
        <v>65</v>
      </c>
      <c r="G9" s="16">
        <v>12</v>
      </c>
    </row>
    <row r="10" spans="1:7" x14ac:dyDescent="0.2">
      <c r="A10" s="16">
        <v>9</v>
      </c>
      <c r="B10" s="16">
        <v>81</v>
      </c>
      <c r="C10" s="16">
        <v>8</v>
      </c>
      <c r="D10" s="16">
        <v>79</v>
      </c>
      <c r="E10" s="16">
        <v>9</v>
      </c>
      <c r="F10" s="16">
        <v>88</v>
      </c>
      <c r="G10" s="16">
        <v>12</v>
      </c>
    </row>
    <row r="11" spans="1:7" x14ac:dyDescent="0.2">
      <c r="A11" s="16">
        <v>10</v>
      </c>
      <c r="B11" s="16">
        <v>91</v>
      </c>
      <c r="C11" s="16">
        <v>14</v>
      </c>
      <c r="D11" s="16">
        <v>83</v>
      </c>
      <c r="E11" s="16">
        <v>14</v>
      </c>
      <c r="F11" s="16">
        <v>78</v>
      </c>
      <c r="G11" s="16">
        <v>15</v>
      </c>
    </row>
    <row r="12" spans="1:7" x14ac:dyDescent="0.2">
      <c r="A12" s="21"/>
      <c r="B12" s="21"/>
      <c r="C12" s="21"/>
      <c r="D12" s="19"/>
      <c r="E12" s="19"/>
      <c r="F12" s="19"/>
      <c r="G12" s="21"/>
    </row>
    <row r="13" spans="1:7" x14ac:dyDescent="0.2">
      <c r="A13" s="21"/>
      <c r="B13" s="21"/>
      <c r="C13" s="21"/>
      <c r="D13" s="21"/>
      <c r="E13" s="22" t="s">
        <v>20</v>
      </c>
      <c r="F13" s="16"/>
      <c r="G13" s="21"/>
    </row>
    <row r="14" spans="1:7" x14ac:dyDescent="0.2">
      <c r="A14" s="21"/>
      <c r="B14" s="21"/>
      <c r="C14" s="21"/>
      <c r="D14" s="22" t="s">
        <v>30</v>
      </c>
      <c r="E14" s="23">
        <v>0.3</v>
      </c>
      <c r="F14" s="26"/>
      <c r="G14" s="21"/>
    </row>
    <row r="15" spans="1:7" x14ac:dyDescent="0.2">
      <c r="A15" s="21"/>
      <c r="B15" s="21"/>
      <c r="C15" s="21"/>
      <c r="D15" s="22" t="s">
        <v>31</v>
      </c>
      <c r="E15" s="23">
        <v>0.3</v>
      </c>
      <c r="F15" s="26"/>
      <c r="G15" s="21"/>
    </row>
    <row r="16" spans="1:7" x14ac:dyDescent="0.2">
      <c r="A16" s="21"/>
      <c r="B16" s="21"/>
      <c r="C16" s="21"/>
      <c r="D16" s="22" t="s">
        <v>32</v>
      </c>
      <c r="E16" s="23">
        <v>0.3</v>
      </c>
      <c r="F16" s="26"/>
      <c r="G16" s="21"/>
    </row>
    <row r="17" spans="1:7" x14ac:dyDescent="0.2">
      <c r="A17" s="21"/>
      <c r="B17" s="21"/>
      <c r="C17" s="21"/>
      <c r="D17" s="22" t="s">
        <v>33</v>
      </c>
      <c r="E17" s="23">
        <v>0.1</v>
      </c>
      <c r="F17" s="26"/>
      <c r="G17" s="21"/>
    </row>
    <row r="18" spans="1:7" x14ac:dyDescent="0.2">
      <c r="E18" s="22" t="s">
        <v>34</v>
      </c>
      <c r="F18" s="25"/>
    </row>
    <row r="33" spans="11:11" x14ac:dyDescent="0.2">
      <c r="K33" s="21"/>
    </row>
  </sheetData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1"/>
  <sheetViews>
    <sheetView workbookViewId="0">
      <selection activeCell="E10" sqref="E10"/>
    </sheetView>
  </sheetViews>
  <sheetFormatPr defaultColWidth="11.42578125" defaultRowHeight="15" x14ac:dyDescent="0.25"/>
  <cols>
    <col min="1" max="1" width="11.42578125" style="48"/>
    <col min="2" max="2" width="12.28515625" style="48" customWidth="1"/>
    <col min="3" max="3" width="13.28515625" style="48" customWidth="1"/>
    <col min="4" max="4" width="14.28515625" style="48" customWidth="1"/>
    <col min="5" max="16384" width="11.42578125" style="48"/>
  </cols>
  <sheetData>
    <row r="1" spans="1:5" x14ac:dyDescent="0.25">
      <c r="A1" s="47" t="s">
        <v>112</v>
      </c>
      <c r="B1" s="47" t="s">
        <v>113</v>
      </c>
      <c r="C1" s="47" t="s">
        <v>114</v>
      </c>
      <c r="D1" s="47" t="s">
        <v>115</v>
      </c>
      <c r="E1" s="47" t="s">
        <v>116</v>
      </c>
    </row>
    <row r="2" spans="1:5" x14ac:dyDescent="0.25">
      <c r="A2" s="49" t="s">
        <v>117</v>
      </c>
      <c r="B2" s="49">
        <v>36596</v>
      </c>
      <c r="C2" s="49" t="s">
        <v>118</v>
      </c>
      <c r="D2" s="49" t="s">
        <v>119</v>
      </c>
      <c r="E2" s="49" t="s">
        <v>120</v>
      </c>
    </row>
    <row r="3" spans="1:5" x14ac:dyDescent="0.25">
      <c r="A3" s="49" t="s">
        <v>121</v>
      </c>
      <c r="B3" s="49">
        <v>86598</v>
      </c>
      <c r="C3" s="49" t="s">
        <v>122</v>
      </c>
      <c r="D3" s="49" t="s">
        <v>123</v>
      </c>
      <c r="E3" s="49" t="s">
        <v>124</v>
      </c>
    </row>
    <row r="4" spans="1:5" x14ac:dyDescent="0.25">
      <c r="A4" s="49" t="s">
        <v>125</v>
      </c>
      <c r="B4" s="49">
        <v>58971</v>
      </c>
      <c r="C4" s="49" t="s">
        <v>126</v>
      </c>
      <c r="D4" s="49" t="s">
        <v>127</v>
      </c>
      <c r="E4" s="49" t="s">
        <v>128</v>
      </c>
    </row>
    <row r="5" spans="1:5" x14ac:dyDescent="0.25">
      <c r="A5" s="49" t="s">
        <v>129</v>
      </c>
      <c r="B5" s="49">
        <v>87456</v>
      </c>
      <c r="C5" s="49" t="s">
        <v>130</v>
      </c>
      <c r="D5" s="49" t="s">
        <v>131</v>
      </c>
      <c r="E5" s="49" t="s">
        <v>132</v>
      </c>
    </row>
    <row r="6" spans="1:5" ht="15.75" thickBot="1" x14ac:dyDescent="0.3"/>
    <row r="7" spans="1:5" ht="15.75" thickBot="1" x14ac:dyDescent="0.3">
      <c r="B7" s="50" t="s">
        <v>133</v>
      </c>
      <c r="C7" s="51">
        <v>86598</v>
      </c>
    </row>
    <row r="8" spans="1:5" ht="15.75" thickBot="1" x14ac:dyDescent="0.3">
      <c r="B8" s="52" t="s">
        <v>134</v>
      </c>
      <c r="C8" s="53"/>
    </row>
    <row r="9" spans="1:5" ht="15.75" customHeight="1" thickBot="1" x14ac:dyDescent="0.3">
      <c r="B9" s="52" t="s">
        <v>135</v>
      </c>
      <c r="C9" s="53"/>
    </row>
    <row r="10" spans="1:5" ht="15.75" customHeight="1" thickBot="1" x14ac:dyDescent="0.3">
      <c r="B10" s="52" t="s">
        <v>136</v>
      </c>
      <c r="C10" s="53"/>
    </row>
    <row r="11" spans="1:5" ht="15.75" customHeight="1" thickBot="1" x14ac:dyDescent="0.3">
      <c r="B11" s="52" t="s">
        <v>116</v>
      </c>
      <c r="C11" s="5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Future_Value</vt:lpstr>
      <vt:lpstr>Future_Value2</vt:lpstr>
      <vt:lpstr>CoffeeShop</vt:lpstr>
      <vt:lpstr>Sales</vt:lpstr>
      <vt:lpstr>Moving Average</vt:lpstr>
      <vt:lpstr>VIP</vt:lpstr>
      <vt:lpstr>Installment</vt:lpstr>
      <vt:lpstr>Annuity</vt:lpstr>
      <vt:lpstr>Exam</vt:lpstr>
      <vt:lpstr>Department</vt:lpstr>
      <vt:lpstr>Bar_Sales</vt:lpstr>
      <vt:lpstr>Gift</vt:lpstr>
      <vt:lpstr>Grading</vt:lpstr>
      <vt:lpstr>Clients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Gerit Wagner</cp:lastModifiedBy>
  <cp:lastPrinted>1999-11-21T14:13:59Z</cp:lastPrinted>
  <dcterms:created xsi:type="dcterms:W3CDTF">1999-11-20T08:59:55Z</dcterms:created>
  <dcterms:modified xsi:type="dcterms:W3CDTF">2026-07-22T06:11:21Z</dcterms:modified>
</cp:coreProperties>
</file>