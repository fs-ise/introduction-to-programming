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emp\"/>
    </mc:Choice>
  </mc:AlternateContent>
  <xr:revisionPtr revIDLastSave="0" documentId="13_ncr:1_{D8B13968-DEA1-4526-8EB6-5669C28009E9}" xr6:coauthVersionLast="47" xr6:coauthVersionMax="47" xr10:uidLastSave="{00000000-0000-0000-0000-000000000000}"/>
  <bookViews>
    <workbookView xWindow="-120" yWindow="-120" windowWidth="38640" windowHeight="21885" xr2:uid="{00000000-000D-0000-FFFF-FFFF00000000}"/>
  </bookViews>
  <sheets>
    <sheet name="Sales" sheetId="3" r:id="rId1"/>
  </sheets>
  <definedNames>
    <definedName name="Abfrage_A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6" i="3" l="1"/>
  <c r="G1066" i="3"/>
  <c r="L4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L2" i="3"/>
  <c r="F1066" i="3"/>
  <c r="E1066" i="3"/>
  <c r="L8" i="3" a="1"/>
  <c r="L8" i="3"/>
  <c r="M8" i="3" s="1"/>
  <c r="L3" i="3" l="1"/>
  <c r="H1066" i="3"/>
  <c r="L5" i="3" s="1"/>
  <c r="I1066" i="3"/>
  <c r="J1066" i="3"/>
  <c r="L6" i="3"/>
  <c r="M9" i="3"/>
  <c r="M10" i="3"/>
  <c r="M11" i="3"/>
  <c r="M12" i="3"/>
  <c r="M13" i="3"/>
  <c r="M14" i="3"/>
  <c r="L14" i="3"/>
  <c r="L13" i="3"/>
  <c r="L12" i="3"/>
  <c r="L11" i="3"/>
  <c r="L10" i="3"/>
  <c r="L9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<sst xmlns="http://schemas.openxmlformats.org/spreadsheetml/2006/main" count="3215" uniqueCount="44">
  <si>
    <t>USA</t>
  </si>
  <si>
    <t>April</t>
  </si>
  <si>
    <t>August</t>
  </si>
  <si>
    <t>September</t>
  </si>
  <si>
    <t>November</t>
  </si>
  <si>
    <t>Product</t>
  </si>
  <si>
    <t>Region</t>
  </si>
  <si>
    <t>Turnover</t>
  </si>
  <si>
    <t>Cost</t>
  </si>
  <si>
    <t>Quantity</t>
  </si>
  <si>
    <t>Year</t>
  </si>
  <si>
    <t>Month</t>
  </si>
  <si>
    <t>January</t>
  </si>
  <si>
    <t>February</t>
  </si>
  <si>
    <t>July</t>
  </si>
  <si>
    <t>June</t>
  </si>
  <si>
    <t>March</t>
  </si>
  <si>
    <t>May</t>
  </si>
  <si>
    <t>October</t>
  </si>
  <si>
    <t>December</t>
  </si>
  <si>
    <t>Germany</t>
  </si>
  <si>
    <t>France</t>
  </si>
  <si>
    <t>Great Britain</t>
  </si>
  <si>
    <t>Italy</t>
  </si>
  <si>
    <t>Swiss</t>
  </si>
  <si>
    <t>Austria</t>
  </si>
  <si>
    <t>Desktops</t>
  </si>
  <si>
    <t>Printers</t>
  </si>
  <si>
    <t>Monitors</t>
  </si>
  <si>
    <t>Laptops</t>
  </si>
  <si>
    <t>Accessories</t>
  </si>
  <si>
    <t>"=UNIQUE(Sales[Region])"</t>
  </si>
  <si>
    <t>"=SUMIF(Sales[Region], J2, Sales[Turnover])"</t>
  </si>
  <si>
    <t>Total</t>
  </si>
  <si>
    <t>Profit</t>
  </si>
  <si>
    <t>TOpU</t>
  </si>
  <si>
    <t>Qshare</t>
  </si>
  <si>
    <t>Task 18</t>
  </si>
  <si>
    <t>Task 16</t>
  </si>
  <si>
    <t>Task 17</t>
  </si>
  <si>
    <t>Task 15</t>
  </si>
  <si>
    <t>Task 14</t>
  </si>
  <si>
    <t>Task 13</t>
  </si>
  <si>
    <t>Task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</si>
</sst>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6">
    <dxf>
      <numFmt numFmtId="164" formatCode="0.00000%"/>
    </dxf>
    <dxf>
      <numFmt numFmtId="164" formatCode="0.00000%"/>
    </dxf>
    <dxf>
      <numFmt numFmtId="2" formatCode="0.00"/>
    </dxf>
    <dxf>
      <numFmt numFmtId="2" formatCode="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Sales!$L$8:$L$14</c:f>
              <c:strCache>
                <c:ptCount val="7"/>
                <c:pt idx="0">
                  <c:v>Austria</c:v>
                </c:pt>
                <c:pt idx="1">
                  <c:v>France</c:v>
                </c:pt>
                <c:pt idx="2">
                  <c:v>Germany</c:v>
                </c:pt>
                <c:pt idx="3">
                  <c:v>Great Britain</c:v>
                </c:pt>
                <c:pt idx="4">
                  <c:v>Italy</c:v>
                </c:pt>
                <c:pt idx="5">
                  <c:v>Swiss</c:v>
                </c:pt>
                <c:pt idx="6">
                  <c:v>USA</c:v>
                </c:pt>
              </c:strCache>
            </c:strRef>
          </c:cat>
          <c:val>
            <c:numRef>
              <c:f>Sales!$M$8:$M$14</c:f>
              <c:numCache>
                <c:formatCode>General</c:formatCode>
                <c:ptCount val="7"/>
                <c:pt idx="0">
                  <c:v>44186</c:v>
                </c:pt>
                <c:pt idx="1">
                  <c:v>88449</c:v>
                </c:pt>
                <c:pt idx="2">
                  <c:v>133604</c:v>
                </c:pt>
                <c:pt idx="3">
                  <c:v>111191</c:v>
                </c:pt>
                <c:pt idx="4">
                  <c:v>88226</c:v>
                </c:pt>
                <c:pt idx="5">
                  <c:v>88863</c:v>
                </c:pt>
                <c:pt idx="6">
                  <c:v>441309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5-4516-B456-69CE9308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139000"/>
        <c:axId val="504133960"/>
      </c:barChart>
      <c:catAx>
        <c:axId val="50413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133960"/>
        <c:crosses val="autoZero"/>
        <c:auto val="1"/>
        <c:lblAlgn val="ctr"/>
        <c:lblOffset val="100"/>
        <c:noMultiLvlLbl val="0"/>
      </c:catAx>
      <c:valAx>
        <c:axId val="50413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139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19</xdr:row>
      <xdr:rowOff>14287</xdr:rowOff>
    </xdr:from>
    <xdr:to>
      <xdr:col>13</xdr:col>
      <xdr:colOff>14287</xdr:colOff>
      <xdr:row>33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AEE33-64E7-B9D5-8138-44FD5A4CF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16382-38D6-4B57-BB63-6E55923EE1BB}" name="Sales" displayName="Sales" ref="A1:J1066" totalsRowCount="1" headerRowDxfId="5">
  <autoFilter ref="A1:J1065" xr:uid="{55416382-38D6-4B57-BB63-6E55923EE1BB}"/>
  <sortState xmlns:xlrd2="http://schemas.microsoft.com/office/spreadsheetml/2017/richdata2" ref="A2:G1065">
    <sortCondition ref="B1:B1065"/>
  </sortState>
  <tableColumns count="10">
    <tableColumn id="1" xr3:uid="{E2EFD3EA-FAB6-48D5-BBE8-A7FEAA3A4C34}" name="Product" totalsRowLabel="Total"/>
    <tableColumn id="2" xr3:uid="{016BE0F7-6F93-4719-B2C3-8052CEF63C8B}" name="Region"/>
    <tableColumn id="3" xr3:uid="{35C83958-B335-4EC9-B827-D32DB27B2036}" name="Month"/>
    <tableColumn id="4" xr3:uid="{32FB95AE-510A-4C57-BE62-478C23A929A7}" name="Year" totalsRowFunction="max"/>
    <tableColumn id="5" xr3:uid="{358BB735-41E7-44C3-94DF-9C1BACF9CAF5}" name="Quantity" totalsRowFunction="sum"/>
    <tableColumn id="6" xr3:uid="{087C3F60-AE0E-44D9-B6DD-FC45AD747584}" name="Turnover" totalsRowFunction="average"/>
    <tableColumn id="7" xr3:uid="{07794E8A-2E4E-4504-9535-E7E4D6E8F44D}" name="Cost" totalsRowFunction="sum"/>
    <tableColumn id="8" xr3:uid="{68849DA5-154E-4BF3-961F-AE8079D51FF9}" name="Profit" totalsRowFunction="sum" dataDxfId="4">
      <calculatedColumnFormula>Sales[[#This Row],[Turnover]]-Sales[[#This Row],[Cost]]</calculatedColumnFormula>
    </tableColumn>
    <tableColumn id="9" xr3:uid="{E45EC083-23EB-44DB-ACCB-E6BE87FF37ED}" name="TOpU" totalsRowFunction="average" dataDxfId="3" totalsRowDxfId="2">
      <calculatedColumnFormula>Sales[[#This Row],[Turnover]]*1000/Sales[[#This Row],[Quantity]]</calculatedColumnFormula>
    </tableColumn>
    <tableColumn id="10" xr3:uid="{DF44E3A6-41D4-479B-A8AA-DA13333AA6B2}" name="Qshare" totalsRowFunction="sum" dataDxfId="1" totalsRowDxfId="0">
      <calculatedColumnFormula>Sales[[#This Row],[Quantity]]/SUM(Sales[Quantity])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B473-2F92-490A-AA7C-D4375EC02F51}">
  <dimension ref="A1:M1066"/>
  <sheetViews>
    <sheetView showFormulas="1" tabSelected="1" topLeftCell="D1" workbookViewId="0">
      <selection activeCell="I4" sqref="I4"/>
    </sheetView>
  </sheetViews>
  <sheetFormatPr defaultRowHeight="15" x14ac:dyDescent="0.25"/>
  <cols>
    <col min="1" max="1" width="15.28515625" customWidth="1"/>
    <col min="2" max="2" width="18.140625" customWidth="1"/>
    <col min="3" max="3" width="12" customWidth="1"/>
    <col min="4" max="4" width="9.7109375" customWidth="1"/>
    <col min="5" max="5" width="12.140625" customWidth="1"/>
    <col min="6" max="7" width="11.28515625" customWidth="1"/>
    <col min="8" max="8" width="11.5703125" bestFit="1" customWidth="1"/>
    <col min="9" max="9" width="15.5703125" style="3" bestFit="1" customWidth="1"/>
    <col min="10" max="10" width="14.5703125" style="5" bestFit="1" customWidth="1"/>
    <col min="11" max="11" width="1.140625" customWidth="1"/>
    <col min="12" max="12" width="22.28515625" bestFit="1" customWidth="1"/>
    <col min="13" max="13" width="20.5703125" bestFit="1" customWidth="1"/>
  </cols>
  <sheetData>
    <row r="1" spans="1:13" x14ac:dyDescent="0.25">
      <c r="A1" s="1" t="s">
        <v>5</v>
      </c>
      <c r="B1" s="1" t="s">
        <v>6</v>
      </c>
      <c r="C1" s="1" t="s">
        <v>11</v>
      </c>
      <c r="D1" s="1" t="s">
        <v>10</v>
      </c>
      <c r="E1" s="1" t="s">
        <v>9</v>
      </c>
      <c r="F1" s="1" t="s">
        <v>7</v>
      </c>
      <c r="G1" s="1" t="s">
        <v>8</v>
      </c>
      <c r="H1" s="1" t="s">
        <v>34</v>
      </c>
      <c r="I1" s="2" t="s">
        <v>35</v>
      </c>
      <c r="J1" s="4" t="s">
        <v>36</v>
      </c>
      <c r="K1" s="1"/>
    </row>
    <row r="2" spans="1:13" x14ac:dyDescent="0.25">
      <c r="A2" t="s">
        <v>27</v>
      </c>
      <c r="B2" t="s">
        <v>25</v>
      </c>
      <c r="C2" t="s">
        <v>12</v>
      </c>
      <c r="D2">
        <v>2018</v>
      </c>
      <c r="E2">
        <v>152</v>
      </c>
      <c r="F2">
        <v>228</v>
      </c>
      <c r="G2">
        <v>88</v>
      </c>
      <c r="H2">
        <f>Sales[[#This Row],[Turnover]]-Sales[[#This Row],[Cost]]</f>
        <v>140</v>
      </c>
      <c r="I2" s="3">
        <f>Sales[[#This Row],[Turnover]]*1000/Sales[[#This Row],[Quantity]]</f>
        <v>1500</v>
      </c>
      <c r="J2" s="5">
        <f>Sales[[#This Row],[Quantity]]/SUM(Sales[Quantity])</f>
        <v>2.7591665138838715E-4</v>
      </c>
      <c r="L2">
        <f>ROWS(Sales[Product])</f>
        <v>1064</v>
      </c>
      <c r="M2" s="6" t="s">
        <v>43</v>
      </c>
    </row>
    <row r="3" spans="1:13" x14ac:dyDescent="0.25">
      <c r="A3" t="s">
        <v>27</v>
      </c>
      <c r="B3" t="s">
        <v>25</v>
      </c>
      <c r="C3" t="s">
        <v>13</v>
      </c>
      <c r="D3">
        <v>2018</v>
      </c>
      <c r="E3">
        <v>161</v>
      </c>
      <c r="F3">
        <v>240</v>
      </c>
      <c r="G3">
        <v>94</v>
      </c>
      <c r="H3">
        <f>Sales[[#This Row],[Turnover]]-Sales[[#This Row],[Cost]]</f>
        <v>146</v>
      </c>
      <c r="I3" s="3">
        <f>Sales[[#This Row],[Turnover]]*1000/Sales[[#This Row],[Quantity]]</f>
        <v>1490.6832298136646</v>
      </c>
      <c r="J3" s="5">
        <f>Sales[[#This Row],[Quantity]]/SUM(Sales[Quantity])</f>
        <v>2.9225382153638381E-4</v>
      </c>
      <c r="L3">
        <f>SUM(Sales[Profit])</f>
        <v>481184</v>
      </c>
      <c r="M3" s="6" t="s">
        <v>42</v>
      </c>
    </row>
    <row r="4" spans="1:13" x14ac:dyDescent="0.25">
      <c r="A4" t="s">
        <v>27</v>
      </c>
      <c r="B4" t="s">
        <v>25</v>
      </c>
      <c r="C4" t="s">
        <v>16</v>
      </c>
      <c r="D4">
        <v>2018</v>
      </c>
      <c r="E4">
        <v>219</v>
      </c>
      <c r="F4">
        <v>328</v>
      </c>
      <c r="G4">
        <v>127</v>
      </c>
      <c r="H4">
        <f>Sales[[#This Row],[Turnover]]-Sales[[#This Row],[Cost]]</f>
        <v>201</v>
      </c>
      <c r="I4" s="3">
        <f>Sales[[#This Row],[Turnover]]*1000/Sales[[#This Row],[Quantity]]</f>
        <v>1497.716894977169</v>
      </c>
      <c r="J4" s="5">
        <f>Sales[[#This Row],[Quantity]]/SUM(Sales[Quantity])</f>
        <v>3.9753780693458415E-4</v>
      </c>
      <c r="L4">
        <f>SUM(Sales[Turnover])</f>
        <v>995828</v>
      </c>
      <c r="M4" s="6" t="s">
        <v>41</v>
      </c>
    </row>
    <row r="5" spans="1:13" x14ac:dyDescent="0.25">
      <c r="A5" t="s">
        <v>27</v>
      </c>
      <c r="B5" t="s">
        <v>25</v>
      </c>
      <c r="C5" t="s">
        <v>1</v>
      </c>
      <c r="D5">
        <v>2018</v>
      </c>
      <c r="E5">
        <v>260</v>
      </c>
      <c r="F5">
        <v>386</v>
      </c>
      <c r="G5">
        <v>151</v>
      </c>
      <c r="H5">
        <f>Sales[[#This Row],[Turnover]]-Sales[[#This Row],[Cost]]</f>
        <v>235</v>
      </c>
      <c r="I5" s="3">
        <f>Sales[[#This Row],[Turnover]]*1000/Sales[[#This Row],[Quantity]]</f>
        <v>1484.6153846153845</v>
      </c>
      <c r="J5" s="5">
        <f>Sales[[#This Row],[Quantity]]/SUM(Sales[Quantity])</f>
        <v>4.7196269316434648E-4</v>
      </c>
      <c r="L5">
        <f>Sales[[#Totals],[Profit]]+Sales[[#Totals],[Cost]]</f>
        <v>995828</v>
      </c>
      <c r="M5" s="6" t="s">
        <v>41</v>
      </c>
    </row>
    <row r="6" spans="1:13" x14ac:dyDescent="0.25">
      <c r="A6" t="s">
        <v>27</v>
      </c>
      <c r="B6" t="s">
        <v>25</v>
      </c>
      <c r="C6" t="s">
        <v>17</v>
      </c>
      <c r="D6">
        <v>2018</v>
      </c>
      <c r="E6">
        <v>206</v>
      </c>
      <c r="F6">
        <v>310</v>
      </c>
      <c r="G6">
        <v>120</v>
      </c>
      <c r="H6">
        <f>Sales[[#This Row],[Turnover]]-Sales[[#This Row],[Cost]]</f>
        <v>190</v>
      </c>
      <c r="I6" s="3">
        <f>Sales[[#This Row],[Turnover]]*1000/Sales[[#This Row],[Quantity]]</f>
        <v>1504.8543689320388</v>
      </c>
      <c r="J6" s="5">
        <f>Sales[[#This Row],[Quantity]]/SUM(Sales[Quantity])</f>
        <v>3.7393967227636684E-4</v>
      </c>
      <c r="L6">
        <f>SUM(Sales[[#Totals],[Year]:[Qshare]])</f>
        <v>1552057.8055688641</v>
      </c>
      <c r="M6" s="6" t="s">
        <v>40</v>
      </c>
    </row>
    <row r="7" spans="1:13" x14ac:dyDescent="0.25">
      <c r="A7" t="s">
        <v>27</v>
      </c>
      <c r="B7" t="s">
        <v>25</v>
      </c>
      <c r="C7" t="s">
        <v>15</v>
      </c>
      <c r="D7">
        <v>2018</v>
      </c>
      <c r="E7">
        <v>212</v>
      </c>
      <c r="F7">
        <v>317</v>
      </c>
      <c r="G7">
        <v>124</v>
      </c>
      <c r="H7">
        <f>Sales[[#This Row],[Turnover]]-Sales[[#This Row],[Cost]]</f>
        <v>193</v>
      </c>
      <c r="I7" s="3">
        <f>Sales[[#This Row],[Turnover]]*1000/Sales[[#This Row],[Quantity]]</f>
        <v>1495.2830188679245</v>
      </c>
      <c r="J7" s="5">
        <f>Sales[[#This Row],[Quantity]]/SUM(Sales[Quantity])</f>
        <v>3.8483111904169792E-4</v>
      </c>
      <c r="L7" s="6" t="s">
        <v>38</v>
      </c>
      <c r="M7" s="6" t="s">
        <v>39</v>
      </c>
    </row>
    <row r="8" spans="1:13" x14ac:dyDescent="0.25">
      <c r="A8" t="s">
        <v>27</v>
      </c>
      <c r="B8" t="s">
        <v>25</v>
      </c>
      <c r="C8" t="s">
        <v>14</v>
      </c>
      <c r="D8">
        <v>2018</v>
      </c>
      <c r="E8">
        <v>252</v>
      </c>
      <c r="F8">
        <v>226</v>
      </c>
      <c r="G8">
        <v>146</v>
      </c>
      <c r="H8">
        <f>Sales[[#This Row],[Turnover]]-Sales[[#This Row],[Cost]]</f>
        <v>80</v>
      </c>
      <c r="I8" s="3">
        <f>Sales[[#This Row],[Turnover]]*1000/Sales[[#This Row],[Quantity]]</f>
        <v>896.82539682539687</v>
      </c>
      <c r="J8" s="5">
        <f>Sales[[#This Row],[Quantity]]/SUM(Sales[Quantity])</f>
        <v>4.5744076414390504E-4</v>
      </c>
      <c r="L8" t="str" cm="1">
        <f t="array" ref="L8:L14">_xlfn.UNIQUE(Sales[Region])</f>
        <v>Austria</v>
      </c>
      <c r="M8">
        <f>SUMIF(Sales[Region], L8, Sales[Turnover])</f>
        <v>44186</v>
      </c>
    </row>
    <row r="9" spans="1:13" x14ac:dyDescent="0.25">
      <c r="A9" t="s">
        <v>27</v>
      </c>
      <c r="B9" t="s">
        <v>25</v>
      </c>
      <c r="C9" t="s">
        <v>2</v>
      </c>
      <c r="D9">
        <v>2018</v>
      </c>
      <c r="E9">
        <v>222</v>
      </c>
      <c r="F9">
        <v>198</v>
      </c>
      <c r="G9">
        <v>129</v>
      </c>
      <c r="H9">
        <f>Sales[[#This Row],[Turnover]]-Sales[[#This Row],[Cost]]</f>
        <v>69</v>
      </c>
      <c r="I9" s="3">
        <f>Sales[[#This Row],[Turnover]]*1000/Sales[[#This Row],[Quantity]]</f>
        <v>891.89189189189187</v>
      </c>
      <c r="J9" s="5">
        <f>Sales[[#This Row],[Quantity]]/SUM(Sales[Quantity])</f>
        <v>4.0298353031724968E-4</v>
      </c>
      <c r="L9" t="str">
        <v>France</v>
      </c>
      <c r="M9">
        <f>SUMIF(Sales[Region], L9, Sales[Turnover])</f>
        <v>88449</v>
      </c>
    </row>
    <row r="10" spans="1:13" x14ac:dyDescent="0.25">
      <c r="A10" t="s">
        <v>27</v>
      </c>
      <c r="B10" t="s">
        <v>25</v>
      </c>
      <c r="C10" t="s">
        <v>3</v>
      </c>
      <c r="D10">
        <v>2018</v>
      </c>
      <c r="E10">
        <v>259</v>
      </c>
      <c r="F10">
        <v>234</v>
      </c>
      <c r="G10">
        <v>151</v>
      </c>
      <c r="H10">
        <f>Sales[[#This Row],[Turnover]]-Sales[[#This Row],[Cost]]</f>
        <v>83</v>
      </c>
      <c r="I10" s="3">
        <f>Sales[[#This Row],[Turnover]]*1000/Sales[[#This Row],[Quantity]]</f>
        <v>903.4749034749035</v>
      </c>
      <c r="J10" s="5">
        <f>Sales[[#This Row],[Quantity]]/SUM(Sales[Quantity])</f>
        <v>4.7014745203679132E-4</v>
      </c>
      <c r="L10" t="str">
        <v>Germany</v>
      </c>
      <c r="M10">
        <f>SUMIF(Sales[Region], L10, Sales[Turnover])</f>
        <v>133604</v>
      </c>
    </row>
    <row r="11" spans="1:13" x14ac:dyDescent="0.25">
      <c r="A11" t="s">
        <v>27</v>
      </c>
      <c r="B11" t="s">
        <v>25</v>
      </c>
      <c r="C11" t="s">
        <v>18</v>
      </c>
      <c r="D11">
        <v>2018</v>
      </c>
      <c r="E11">
        <v>193</v>
      </c>
      <c r="F11">
        <v>173</v>
      </c>
      <c r="G11">
        <v>112</v>
      </c>
      <c r="H11">
        <f>Sales[[#This Row],[Turnover]]-Sales[[#This Row],[Cost]]</f>
        <v>61</v>
      </c>
      <c r="I11" s="3">
        <f>Sales[[#This Row],[Turnover]]*1000/Sales[[#This Row],[Quantity]]</f>
        <v>896.37305699481863</v>
      </c>
      <c r="J11" s="5">
        <f>Sales[[#This Row],[Quantity]]/SUM(Sales[Quantity])</f>
        <v>3.5034153761814949E-4</v>
      </c>
      <c r="L11" t="str">
        <v>Great Britain</v>
      </c>
      <c r="M11">
        <f>SUMIF(Sales[Region], L11, Sales[Turnover])</f>
        <v>111191</v>
      </c>
    </row>
    <row r="12" spans="1:13" x14ac:dyDescent="0.25">
      <c r="A12" t="s">
        <v>27</v>
      </c>
      <c r="B12" t="s">
        <v>25</v>
      </c>
      <c r="C12" t="s">
        <v>4</v>
      </c>
      <c r="D12">
        <v>2018</v>
      </c>
      <c r="E12">
        <v>199</v>
      </c>
      <c r="F12">
        <v>180</v>
      </c>
      <c r="G12">
        <v>116</v>
      </c>
      <c r="H12">
        <f>Sales[[#This Row],[Turnover]]-Sales[[#This Row],[Cost]]</f>
        <v>64</v>
      </c>
      <c r="I12" s="3">
        <f>Sales[[#This Row],[Turnover]]*1000/Sales[[#This Row],[Quantity]]</f>
        <v>904.5226130653266</v>
      </c>
      <c r="J12" s="5">
        <f>Sales[[#This Row],[Quantity]]/SUM(Sales[Quantity])</f>
        <v>3.6123298438348056E-4</v>
      </c>
      <c r="L12" t="str">
        <v>Italy</v>
      </c>
      <c r="M12">
        <f>SUMIF(Sales[Region], L12, Sales[Turnover])</f>
        <v>88226</v>
      </c>
    </row>
    <row r="13" spans="1:13" x14ac:dyDescent="0.25">
      <c r="A13" t="s">
        <v>27</v>
      </c>
      <c r="B13" t="s">
        <v>25</v>
      </c>
      <c r="C13" t="s">
        <v>19</v>
      </c>
      <c r="D13">
        <v>2018</v>
      </c>
      <c r="E13">
        <v>314</v>
      </c>
      <c r="F13">
        <v>221</v>
      </c>
      <c r="G13">
        <v>182</v>
      </c>
      <c r="H13">
        <f>Sales[[#This Row],[Turnover]]-Sales[[#This Row],[Cost]]</f>
        <v>39</v>
      </c>
      <c r="I13" s="3">
        <f>Sales[[#This Row],[Turnover]]*1000/Sales[[#This Row],[Quantity]]</f>
        <v>703.82165605095543</v>
      </c>
      <c r="J13" s="5">
        <f>Sales[[#This Row],[Quantity]]/SUM(Sales[Quantity])</f>
        <v>5.6998571405232612E-4</v>
      </c>
      <c r="L13" t="str">
        <v>Swiss</v>
      </c>
      <c r="M13">
        <f>SUMIF(Sales[Region], L13, Sales[Turnover])</f>
        <v>88863</v>
      </c>
    </row>
    <row r="14" spans="1:13" x14ac:dyDescent="0.25">
      <c r="A14" t="s">
        <v>28</v>
      </c>
      <c r="B14" t="s">
        <v>25</v>
      </c>
      <c r="C14" t="s">
        <v>12</v>
      </c>
      <c r="D14">
        <v>2018</v>
      </c>
      <c r="E14">
        <v>90</v>
      </c>
      <c r="F14">
        <v>158</v>
      </c>
      <c r="G14">
        <v>0</v>
      </c>
      <c r="H14">
        <f>Sales[[#This Row],[Turnover]]-Sales[[#This Row],[Cost]]</f>
        <v>158</v>
      </c>
      <c r="I14" s="3">
        <f>Sales[[#This Row],[Turnover]]*1000/Sales[[#This Row],[Quantity]]</f>
        <v>1755.5555555555557</v>
      </c>
      <c r="J14" s="5">
        <f>Sales[[#This Row],[Quantity]]/SUM(Sales[Quantity])</f>
        <v>1.6337170147996609E-4</v>
      </c>
      <c r="L14" t="str">
        <v>USA</v>
      </c>
      <c r="M14">
        <f>SUMIF(Sales[Region], L14, Sales[Turnover])</f>
        <v>441309</v>
      </c>
    </row>
    <row r="15" spans="1:13" x14ac:dyDescent="0.25">
      <c r="A15" t="s">
        <v>28</v>
      </c>
      <c r="B15" t="s">
        <v>25</v>
      </c>
      <c r="C15" t="s">
        <v>13</v>
      </c>
      <c r="D15">
        <v>2018</v>
      </c>
      <c r="E15">
        <v>123</v>
      </c>
      <c r="F15">
        <v>216</v>
      </c>
      <c r="G15">
        <v>0</v>
      </c>
      <c r="H15">
        <f>Sales[[#This Row],[Turnover]]-Sales[[#This Row],[Cost]]</f>
        <v>216</v>
      </c>
      <c r="I15" s="3">
        <f>Sales[[#This Row],[Turnover]]*1000/Sales[[#This Row],[Quantity]]</f>
        <v>1756.0975609756097</v>
      </c>
      <c r="J15" s="5">
        <f>Sales[[#This Row],[Quantity]]/SUM(Sales[Quantity])</f>
        <v>2.2327465868928698E-4</v>
      </c>
    </row>
    <row r="16" spans="1:13" x14ac:dyDescent="0.25">
      <c r="A16" t="s">
        <v>28</v>
      </c>
      <c r="B16" t="s">
        <v>25</v>
      </c>
      <c r="C16" t="s">
        <v>16</v>
      </c>
      <c r="D16">
        <v>2018</v>
      </c>
      <c r="E16">
        <v>168</v>
      </c>
      <c r="F16">
        <v>296</v>
      </c>
      <c r="G16">
        <v>0</v>
      </c>
      <c r="H16">
        <f>Sales[[#This Row],[Turnover]]-Sales[[#This Row],[Cost]]</f>
        <v>296</v>
      </c>
      <c r="I16" s="3">
        <f>Sales[[#This Row],[Turnover]]*1000/Sales[[#This Row],[Quantity]]</f>
        <v>1761.9047619047619</v>
      </c>
      <c r="J16" s="5">
        <f>Sales[[#This Row],[Quantity]]/SUM(Sales[Quantity])</f>
        <v>3.0496050942927004E-4</v>
      </c>
      <c r="L16" t="s">
        <v>31</v>
      </c>
      <c r="M16" s="6" t="s">
        <v>38</v>
      </c>
    </row>
    <row r="17" spans="1:13" x14ac:dyDescent="0.25">
      <c r="A17" t="s">
        <v>28</v>
      </c>
      <c r="B17" t="s">
        <v>25</v>
      </c>
      <c r="C17" t="s">
        <v>1</v>
      </c>
      <c r="D17">
        <v>2018</v>
      </c>
      <c r="E17">
        <v>141</v>
      </c>
      <c r="F17">
        <v>244</v>
      </c>
      <c r="G17">
        <v>0</v>
      </c>
      <c r="H17">
        <f>Sales[[#This Row],[Turnover]]-Sales[[#This Row],[Cost]]</f>
        <v>244</v>
      </c>
      <c r="I17" s="3">
        <f>Sales[[#This Row],[Turnover]]*1000/Sales[[#This Row],[Quantity]]</f>
        <v>1730.4964539007092</v>
      </c>
      <c r="J17" s="5">
        <f>Sales[[#This Row],[Quantity]]/SUM(Sales[Quantity])</f>
        <v>2.5594899898528022E-4</v>
      </c>
      <c r="L17" t="s">
        <v>32</v>
      </c>
      <c r="M17" s="6" t="s">
        <v>39</v>
      </c>
    </row>
    <row r="18" spans="1:13" x14ac:dyDescent="0.25">
      <c r="A18" t="s">
        <v>28</v>
      </c>
      <c r="B18" t="s">
        <v>25</v>
      </c>
      <c r="C18" t="s">
        <v>17</v>
      </c>
      <c r="D18">
        <v>2018</v>
      </c>
      <c r="E18">
        <v>109</v>
      </c>
      <c r="F18">
        <v>191</v>
      </c>
      <c r="G18">
        <v>0</v>
      </c>
      <c r="H18">
        <f>Sales[[#This Row],[Turnover]]-Sales[[#This Row],[Cost]]</f>
        <v>191</v>
      </c>
      <c r="I18" s="3">
        <f>Sales[[#This Row],[Turnover]]*1000/Sales[[#This Row],[Quantity]]</f>
        <v>1752.2935779816514</v>
      </c>
      <c r="J18" s="5">
        <f>Sales[[#This Row],[Quantity]]/SUM(Sales[Quantity])</f>
        <v>1.9786128290351449E-4</v>
      </c>
    </row>
    <row r="19" spans="1:13" x14ac:dyDescent="0.25">
      <c r="A19" t="s">
        <v>28</v>
      </c>
      <c r="B19" t="s">
        <v>25</v>
      </c>
      <c r="C19" t="s">
        <v>15</v>
      </c>
      <c r="D19">
        <v>2018</v>
      </c>
      <c r="E19">
        <v>118</v>
      </c>
      <c r="F19">
        <v>208</v>
      </c>
      <c r="G19">
        <v>0</v>
      </c>
      <c r="H19">
        <f>Sales[[#This Row],[Turnover]]-Sales[[#This Row],[Cost]]</f>
        <v>208</v>
      </c>
      <c r="I19" s="3">
        <f>Sales[[#This Row],[Turnover]]*1000/Sales[[#This Row],[Quantity]]</f>
        <v>1762.7118644067796</v>
      </c>
      <c r="J19" s="5">
        <f>Sales[[#This Row],[Quantity]]/SUM(Sales[Quantity])</f>
        <v>2.141984530515111E-4</v>
      </c>
      <c r="L19" s="6" t="s">
        <v>37</v>
      </c>
    </row>
    <row r="20" spans="1:13" x14ac:dyDescent="0.25">
      <c r="A20" t="s">
        <v>28</v>
      </c>
      <c r="B20" t="s">
        <v>25</v>
      </c>
      <c r="C20" t="s">
        <v>14</v>
      </c>
      <c r="D20">
        <v>2018</v>
      </c>
      <c r="E20">
        <v>235</v>
      </c>
      <c r="F20">
        <v>282</v>
      </c>
      <c r="G20">
        <v>142</v>
      </c>
      <c r="H20">
        <f>Sales[[#This Row],[Turnover]]-Sales[[#This Row],[Cost]]</f>
        <v>140</v>
      </c>
      <c r="I20" s="3">
        <f>Sales[[#This Row],[Turnover]]*1000/Sales[[#This Row],[Quantity]]</f>
        <v>1200</v>
      </c>
      <c r="J20" s="5">
        <f>Sales[[#This Row],[Quantity]]/SUM(Sales[Quantity])</f>
        <v>4.2658166497546704E-4</v>
      </c>
    </row>
    <row r="21" spans="1:13" x14ac:dyDescent="0.25">
      <c r="A21" t="s">
        <v>28</v>
      </c>
      <c r="B21" t="s">
        <v>25</v>
      </c>
      <c r="C21" t="s">
        <v>2</v>
      </c>
      <c r="D21">
        <v>2018</v>
      </c>
      <c r="E21">
        <v>198</v>
      </c>
      <c r="F21">
        <v>237</v>
      </c>
      <c r="G21">
        <v>119</v>
      </c>
      <c r="H21">
        <f>Sales[[#This Row],[Turnover]]-Sales[[#This Row],[Cost]]</f>
        <v>118</v>
      </c>
      <c r="I21" s="3">
        <f>Sales[[#This Row],[Turnover]]*1000/Sales[[#This Row],[Quantity]]</f>
        <v>1196.969696969697</v>
      </c>
      <c r="J21" s="5">
        <f>Sales[[#This Row],[Quantity]]/SUM(Sales[Quantity])</f>
        <v>3.594177432559254E-4</v>
      </c>
    </row>
    <row r="22" spans="1:13" x14ac:dyDescent="0.25">
      <c r="A22" t="s">
        <v>28</v>
      </c>
      <c r="B22" t="s">
        <v>25</v>
      </c>
      <c r="C22" t="s">
        <v>3</v>
      </c>
      <c r="D22">
        <v>2018</v>
      </c>
      <c r="E22">
        <v>193</v>
      </c>
      <c r="F22">
        <v>233</v>
      </c>
      <c r="G22">
        <v>116</v>
      </c>
      <c r="H22">
        <f>Sales[[#This Row],[Turnover]]-Sales[[#This Row],[Cost]]</f>
        <v>117</v>
      </c>
      <c r="I22" s="3">
        <f>Sales[[#This Row],[Turnover]]*1000/Sales[[#This Row],[Quantity]]</f>
        <v>1207.2538860103627</v>
      </c>
      <c r="J22" s="5">
        <f>Sales[[#This Row],[Quantity]]/SUM(Sales[Quantity])</f>
        <v>3.5034153761814949E-4</v>
      </c>
    </row>
    <row r="23" spans="1:13" x14ac:dyDescent="0.25">
      <c r="A23" t="s">
        <v>28</v>
      </c>
      <c r="B23" t="s">
        <v>25</v>
      </c>
      <c r="C23" t="s">
        <v>18</v>
      </c>
      <c r="D23">
        <v>2018</v>
      </c>
      <c r="E23">
        <v>186</v>
      </c>
      <c r="F23">
        <v>221</v>
      </c>
      <c r="G23">
        <v>112</v>
      </c>
      <c r="H23">
        <f>Sales[[#This Row],[Turnover]]-Sales[[#This Row],[Cost]]</f>
        <v>109</v>
      </c>
      <c r="I23" s="3">
        <f>Sales[[#This Row],[Turnover]]*1000/Sales[[#This Row],[Quantity]]</f>
        <v>1188.1720430107528</v>
      </c>
      <c r="J23" s="5">
        <f>Sales[[#This Row],[Quantity]]/SUM(Sales[Quantity])</f>
        <v>3.3763484972526326E-4</v>
      </c>
    </row>
    <row r="24" spans="1:13" x14ac:dyDescent="0.25">
      <c r="A24" t="s">
        <v>28</v>
      </c>
      <c r="B24" t="s">
        <v>25</v>
      </c>
      <c r="C24" t="s">
        <v>4</v>
      </c>
      <c r="D24">
        <v>2018</v>
      </c>
      <c r="E24">
        <v>183</v>
      </c>
      <c r="F24">
        <v>221</v>
      </c>
      <c r="G24">
        <v>110</v>
      </c>
      <c r="H24">
        <f>Sales[[#This Row],[Turnover]]-Sales[[#This Row],[Cost]]</f>
        <v>111</v>
      </c>
      <c r="I24" s="3">
        <f>Sales[[#This Row],[Turnover]]*1000/Sales[[#This Row],[Quantity]]</f>
        <v>1207.6502732240438</v>
      </c>
      <c r="J24" s="5">
        <f>Sales[[#This Row],[Quantity]]/SUM(Sales[Quantity])</f>
        <v>3.3218912634259772E-4</v>
      </c>
    </row>
    <row r="25" spans="1:13" x14ac:dyDescent="0.25">
      <c r="A25" t="s">
        <v>28</v>
      </c>
      <c r="B25" t="s">
        <v>25</v>
      </c>
      <c r="C25" t="s">
        <v>19</v>
      </c>
      <c r="D25">
        <v>2018</v>
      </c>
      <c r="E25">
        <v>228</v>
      </c>
      <c r="F25">
        <v>181</v>
      </c>
      <c r="G25">
        <v>137</v>
      </c>
      <c r="H25">
        <f>Sales[[#This Row],[Turnover]]-Sales[[#This Row],[Cost]]</f>
        <v>44</v>
      </c>
      <c r="I25" s="3">
        <f>Sales[[#This Row],[Turnover]]*1000/Sales[[#This Row],[Quantity]]</f>
        <v>793.85964912280701</v>
      </c>
      <c r="J25" s="5">
        <f>Sales[[#This Row],[Quantity]]/SUM(Sales[Quantity])</f>
        <v>4.1387497708258075E-4</v>
      </c>
    </row>
    <row r="26" spans="1:13" x14ac:dyDescent="0.25">
      <c r="A26" t="s">
        <v>30</v>
      </c>
      <c r="B26" t="s">
        <v>25</v>
      </c>
      <c r="C26" t="s">
        <v>12</v>
      </c>
      <c r="D26">
        <v>2018</v>
      </c>
      <c r="E26">
        <v>244</v>
      </c>
      <c r="F26">
        <v>477</v>
      </c>
      <c r="G26">
        <v>295</v>
      </c>
      <c r="H26">
        <f>Sales[[#This Row],[Turnover]]-Sales[[#This Row],[Cost]]</f>
        <v>182</v>
      </c>
      <c r="I26" s="3">
        <f>Sales[[#This Row],[Turnover]]*1000/Sales[[#This Row],[Quantity]]</f>
        <v>1954.9180327868853</v>
      </c>
      <c r="J26" s="5">
        <f>Sales[[#This Row],[Quantity]]/SUM(Sales[Quantity])</f>
        <v>4.4291883512346365E-4</v>
      </c>
    </row>
    <row r="27" spans="1:13" x14ac:dyDescent="0.25">
      <c r="A27" t="s">
        <v>30</v>
      </c>
      <c r="B27" t="s">
        <v>25</v>
      </c>
      <c r="C27" t="s">
        <v>13</v>
      </c>
      <c r="D27">
        <v>2018</v>
      </c>
      <c r="E27">
        <v>251</v>
      </c>
      <c r="F27">
        <v>493</v>
      </c>
      <c r="G27">
        <v>304</v>
      </c>
      <c r="H27">
        <f>Sales[[#This Row],[Turnover]]-Sales[[#This Row],[Cost]]</f>
        <v>189</v>
      </c>
      <c r="I27" s="3">
        <f>Sales[[#This Row],[Turnover]]*1000/Sales[[#This Row],[Quantity]]</f>
        <v>1964.1434262948208</v>
      </c>
      <c r="J27" s="5">
        <f>Sales[[#This Row],[Quantity]]/SUM(Sales[Quantity])</f>
        <v>4.5562552301634988E-4</v>
      </c>
    </row>
    <row r="28" spans="1:13" x14ac:dyDescent="0.25">
      <c r="A28" t="s">
        <v>30</v>
      </c>
      <c r="B28" t="s">
        <v>25</v>
      </c>
      <c r="C28" t="s">
        <v>16</v>
      </c>
      <c r="D28">
        <v>2018</v>
      </c>
      <c r="E28">
        <v>218</v>
      </c>
      <c r="F28">
        <v>421</v>
      </c>
      <c r="G28">
        <v>264</v>
      </c>
      <c r="H28">
        <f>Sales[[#This Row],[Turnover]]-Sales[[#This Row],[Cost]]</f>
        <v>157</v>
      </c>
      <c r="I28" s="3">
        <f>Sales[[#This Row],[Turnover]]*1000/Sales[[#This Row],[Quantity]]</f>
        <v>1931.1926605504586</v>
      </c>
      <c r="J28" s="5">
        <f>Sales[[#This Row],[Quantity]]/SUM(Sales[Quantity])</f>
        <v>3.9572256580702899E-4</v>
      </c>
    </row>
    <row r="29" spans="1:13" x14ac:dyDescent="0.25">
      <c r="A29" t="s">
        <v>30</v>
      </c>
      <c r="B29" t="s">
        <v>25</v>
      </c>
      <c r="C29" t="s">
        <v>1</v>
      </c>
      <c r="D29">
        <v>2018</v>
      </c>
      <c r="E29">
        <v>259</v>
      </c>
      <c r="F29">
        <v>500</v>
      </c>
      <c r="G29">
        <v>314</v>
      </c>
      <c r="H29">
        <f>Sales[[#This Row],[Turnover]]-Sales[[#This Row],[Cost]]</f>
        <v>186</v>
      </c>
      <c r="I29" s="3">
        <f>Sales[[#This Row],[Turnover]]*1000/Sales[[#This Row],[Quantity]]</f>
        <v>1930.5019305019305</v>
      </c>
      <c r="J29" s="5">
        <f>Sales[[#This Row],[Quantity]]/SUM(Sales[Quantity])</f>
        <v>4.7014745203679132E-4</v>
      </c>
    </row>
    <row r="30" spans="1:13" x14ac:dyDescent="0.25">
      <c r="A30" t="s">
        <v>30</v>
      </c>
      <c r="B30" t="s">
        <v>25</v>
      </c>
      <c r="C30" t="s">
        <v>17</v>
      </c>
      <c r="D30">
        <v>2018</v>
      </c>
      <c r="E30">
        <v>212</v>
      </c>
      <c r="F30">
        <v>411</v>
      </c>
      <c r="G30">
        <v>257</v>
      </c>
      <c r="H30">
        <f>Sales[[#This Row],[Turnover]]-Sales[[#This Row],[Cost]]</f>
        <v>154</v>
      </c>
      <c r="I30" s="3">
        <f>Sales[[#This Row],[Turnover]]*1000/Sales[[#This Row],[Quantity]]</f>
        <v>1938.6792452830189</v>
      </c>
      <c r="J30" s="5">
        <f>Sales[[#This Row],[Quantity]]/SUM(Sales[Quantity])</f>
        <v>3.8483111904169792E-4</v>
      </c>
    </row>
    <row r="31" spans="1:13" x14ac:dyDescent="0.25">
      <c r="A31" t="s">
        <v>30</v>
      </c>
      <c r="B31" t="s">
        <v>25</v>
      </c>
      <c r="C31" t="s">
        <v>15</v>
      </c>
      <c r="D31">
        <v>2018</v>
      </c>
      <c r="E31">
        <v>234</v>
      </c>
      <c r="F31">
        <v>456</v>
      </c>
      <c r="G31">
        <v>283</v>
      </c>
      <c r="H31">
        <f>Sales[[#This Row],[Turnover]]-Sales[[#This Row],[Cost]]</f>
        <v>173</v>
      </c>
      <c r="I31" s="3">
        <f>Sales[[#This Row],[Turnover]]*1000/Sales[[#This Row],[Quantity]]</f>
        <v>1948.7179487179487</v>
      </c>
      <c r="J31" s="5">
        <f>Sales[[#This Row],[Quantity]]/SUM(Sales[Quantity])</f>
        <v>4.2476642384791182E-4</v>
      </c>
    </row>
    <row r="32" spans="1:13" x14ac:dyDescent="0.25">
      <c r="A32" t="s">
        <v>30</v>
      </c>
      <c r="B32" t="s">
        <v>25</v>
      </c>
      <c r="C32" t="s">
        <v>14</v>
      </c>
      <c r="D32">
        <v>2018</v>
      </c>
      <c r="E32">
        <v>193</v>
      </c>
      <c r="F32">
        <v>379</v>
      </c>
      <c r="G32">
        <v>234</v>
      </c>
      <c r="H32">
        <f>Sales[[#This Row],[Turnover]]-Sales[[#This Row],[Cost]]</f>
        <v>145</v>
      </c>
      <c r="I32" s="3">
        <f>Sales[[#This Row],[Turnover]]*1000/Sales[[#This Row],[Quantity]]</f>
        <v>1963.7305699481865</v>
      </c>
      <c r="J32" s="5">
        <f>Sales[[#This Row],[Quantity]]/SUM(Sales[Quantity])</f>
        <v>3.5034153761814949E-4</v>
      </c>
    </row>
    <row r="33" spans="1:10" x14ac:dyDescent="0.25">
      <c r="A33" t="s">
        <v>30</v>
      </c>
      <c r="B33" t="s">
        <v>25</v>
      </c>
      <c r="C33" t="s">
        <v>2</v>
      </c>
      <c r="D33">
        <v>2018</v>
      </c>
      <c r="E33">
        <v>273</v>
      </c>
      <c r="F33">
        <v>413</v>
      </c>
      <c r="G33">
        <v>331</v>
      </c>
      <c r="H33">
        <f>Sales[[#This Row],[Turnover]]-Sales[[#This Row],[Cost]]</f>
        <v>82</v>
      </c>
      <c r="I33" s="3">
        <f>Sales[[#This Row],[Turnover]]*1000/Sales[[#This Row],[Quantity]]</f>
        <v>1512.8205128205129</v>
      </c>
      <c r="J33" s="5">
        <f>Sales[[#This Row],[Quantity]]/SUM(Sales[Quantity])</f>
        <v>4.9556082782256379E-4</v>
      </c>
    </row>
    <row r="34" spans="1:10" x14ac:dyDescent="0.25">
      <c r="A34" t="s">
        <v>30</v>
      </c>
      <c r="B34" t="s">
        <v>25</v>
      </c>
      <c r="C34" t="s">
        <v>3</v>
      </c>
      <c r="D34">
        <v>2018</v>
      </c>
      <c r="E34">
        <v>285</v>
      </c>
      <c r="F34">
        <v>431</v>
      </c>
      <c r="G34">
        <v>345</v>
      </c>
      <c r="H34">
        <f>Sales[[#This Row],[Turnover]]-Sales[[#This Row],[Cost]]</f>
        <v>86</v>
      </c>
      <c r="I34" s="3">
        <f>Sales[[#This Row],[Turnover]]*1000/Sales[[#This Row],[Quantity]]</f>
        <v>1512.280701754386</v>
      </c>
      <c r="J34" s="5">
        <f>Sales[[#This Row],[Quantity]]/SUM(Sales[Quantity])</f>
        <v>5.1734372135322593E-4</v>
      </c>
    </row>
    <row r="35" spans="1:10" x14ac:dyDescent="0.25">
      <c r="A35" t="s">
        <v>30</v>
      </c>
      <c r="B35" t="s">
        <v>25</v>
      </c>
      <c r="C35" t="s">
        <v>18</v>
      </c>
      <c r="D35">
        <v>2018</v>
      </c>
      <c r="E35">
        <v>292</v>
      </c>
      <c r="F35">
        <v>437</v>
      </c>
      <c r="G35">
        <v>354</v>
      </c>
      <c r="H35">
        <f>Sales[[#This Row],[Turnover]]-Sales[[#This Row],[Cost]]</f>
        <v>83</v>
      </c>
      <c r="I35" s="3">
        <f>Sales[[#This Row],[Turnover]]*1000/Sales[[#This Row],[Quantity]]</f>
        <v>1496.5753424657535</v>
      </c>
      <c r="J35" s="5">
        <f>Sales[[#This Row],[Quantity]]/SUM(Sales[Quantity])</f>
        <v>5.3005040924611216E-4</v>
      </c>
    </row>
    <row r="36" spans="1:10" x14ac:dyDescent="0.25">
      <c r="A36" t="s">
        <v>30</v>
      </c>
      <c r="B36" t="s">
        <v>25</v>
      </c>
      <c r="C36" t="s">
        <v>4</v>
      </c>
      <c r="D36">
        <v>2018</v>
      </c>
      <c r="E36">
        <v>273</v>
      </c>
      <c r="F36">
        <v>410</v>
      </c>
      <c r="G36">
        <v>331</v>
      </c>
      <c r="H36">
        <f>Sales[[#This Row],[Turnover]]-Sales[[#This Row],[Cost]]</f>
        <v>79</v>
      </c>
      <c r="I36" s="3">
        <f>Sales[[#This Row],[Turnover]]*1000/Sales[[#This Row],[Quantity]]</f>
        <v>1501.8315018315018</v>
      </c>
      <c r="J36" s="5">
        <f>Sales[[#This Row],[Quantity]]/SUM(Sales[Quantity])</f>
        <v>4.9556082782256379E-4</v>
      </c>
    </row>
    <row r="37" spans="1:10" x14ac:dyDescent="0.25">
      <c r="A37" t="s">
        <v>30</v>
      </c>
      <c r="B37" t="s">
        <v>25</v>
      </c>
      <c r="C37" t="s">
        <v>19</v>
      </c>
      <c r="D37">
        <v>2018</v>
      </c>
      <c r="E37">
        <v>202</v>
      </c>
      <c r="F37">
        <v>304</v>
      </c>
      <c r="G37">
        <v>245</v>
      </c>
      <c r="H37">
        <f>Sales[[#This Row],[Turnover]]-Sales[[#This Row],[Cost]]</f>
        <v>59</v>
      </c>
      <c r="I37" s="3">
        <f>Sales[[#This Row],[Turnover]]*1000/Sales[[#This Row],[Quantity]]</f>
        <v>1504.950495049505</v>
      </c>
      <c r="J37" s="5">
        <f>Sales[[#This Row],[Quantity]]/SUM(Sales[Quantity])</f>
        <v>3.6667870776614609E-4</v>
      </c>
    </row>
    <row r="38" spans="1:10" x14ac:dyDescent="0.25">
      <c r="A38" t="s">
        <v>26</v>
      </c>
      <c r="B38" t="s">
        <v>25</v>
      </c>
      <c r="C38" t="s">
        <v>2</v>
      </c>
      <c r="D38">
        <v>2018</v>
      </c>
      <c r="E38">
        <v>135</v>
      </c>
      <c r="F38">
        <v>476</v>
      </c>
      <c r="G38">
        <v>164</v>
      </c>
      <c r="H38">
        <f>Sales[[#This Row],[Turnover]]-Sales[[#This Row],[Cost]]</f>
        <v>312</v>
      </c>
      <c r="I38" s="3">
        <f>Sales[[#This Row],[Turnover]]*1000/Sales[[#This Row],[Quantity]]</f>
        <v>3525.9259259259261</v>
      </c>
      <c r="J38" s="5">
        <f>Sales[[#This Row],[Quantity]]/SUM(Sales[Quantity])</f>
        <v>2.4505755221994915E-4</v>
      </c>
    </row>
    <row r="39" spans="1:10" x14ac:dyDescent="0.25">
      <c r="A39" t="s">
        <v>26</v>
      </c>
      <c r="B39" t="s">
        <v>25</v>
      </c>
      <c r="C39" t="s">
        <v>3</v>
      </c>
      <c r="D39">
        <v>2018</v>
      </c>
      <c r="E39">
        <v>130</v>
      </c>
      <c r="F39">
        <v>457</v>
      </c>
      <c r="G39">
        <v>158</v>
      </c>
      <c r="H39">
        <f>Sales[[#This Row],[Turnover]]-Sales[[#This Row],[Cost]]</f>
        <v>299</v>
      </c>
      <c r="I39" s="3">
        <f>Sales[[#This Row],[Turnover]]*1000/Sales[[#This Row],[Quantity]]</f>
        <v>3515.3846153846152</v>
      </c>
      <c r="J39" s="5">
        <f>Sales[[#This Row],[Quantity]]/SUM(Sales[Quantity])</f>
        <v>2.3598134658217324E-4</v>
      </c>
    </row>
    <row r="40" spans="1:10" x14ac:dyDescent="0.25">
      <c r="A40" t="s">
        <v>26</v>
      </c>
      <c r="B40" t="s">
        <v>25</v>
      </c>
      <c r="C40" t="s">
        <v>18</v>
      </c>
      <c r="D40">
        <v>2018</v>
      </c>
      <c r="E40">
        <v>124</v>
      </c>
      <c r="F40">
        <v>434</v>
      </c>
      <c r="G40">
        <v>151</v>
      </c>
      <c r="H40">
        <f>Sales[[#This Row],[Turnover]]-Sales[[#This Row],[Cost]]</f>
        <v>283</v>
      </c>
      <c r="I40" s="3">
        <f>Sales[[#This Row],[Turnover]]*1000/Sales[[#This Row],[Quantity]]</f>
        <v>3500</v>
      </c>
      <c r="J40" s="5">
        <f>Sales[[#This Row],[Quantity]]/SUM(Sales[Quantity])</f>
        <v>2.2508989981684217E-4</v>
      </c>
    </row>
    <row r="41" spans="1:10" x14ac:dyDescent="0.25">
      <c r="A41" t="s">
        <v>26</v>
      </c>
      <c r="B41" t="s">
        <v>25</v>
      </c>
      <c r="C41" t="s">
        <v>4</v>
      </c>
      <c r="D41">
        <v>2018</v>
      </c>
      <c r="E41">
        <v>121</v>
      </c>
      <c r="F41">
        <v>425</v>
      </c>
      <c r="G41">
        <v>147</v>
      </c>
      <c r="H41">
        <f>Sales[[#This Row],[Turnover]]-Sales[[#This Row],[Cost]]</f>
        <v>278</v>
      </c>
      <c r="I41" s="3">
        <f>Sales[[#This Row],[Turnover]]*1000/Sales[[#This Row],[Quantity]]</f>
        <v>3512.3966942148759</v>
      </c>
      <c r="J41" s="5">
        <f>Sales[[#This Row],[Quantity]]/SUM(Sales[Quantity])</f>
        <v>2.1964417643417664E-4</v>
      </c>
    </row>
    <row r="42" spans="1:10" x14ac:dyDescent="0.25">
      <c r="A42" t="s">
        <v>26</v>
      </c>
      <c r="B42" t="s">
        <v>25</v>
      </c>
      <c r="C42" t="s">
        <v>19</v>
      </c>
      <c r="D42">
        <v>2018</v>
      </c>
      <c r="E42">
        <v>118</v>
      </c>
      <c r="F42">
        <v>410</v>
      </c>
      <c r="G42">
        <v>143</v>
      </c>
      <c r="H42">
        <f>Sales[[#This Row],[Turnover]]-Sales[[#This Row],[Cost]]</f>
        <v>267</v>
      </c>
      <c r="I42" s="3">
        <f>Sales[[#This Row],[Turnover]]*1000/Sales[[#This Row],[Quantity]]</f>
        <v>3474.5762711864409</v>
      </c>
      <c r="J42" s="5">
        <f>Sales[[#This Row],[Quantity]]/SUM(Sales[Quantity])</f>
        <v>2.141984530515111E-4</v>
      </c>
    </row>
    <row r="43" spans="1:10" x14ac:dyDescent="0.25">
      <c r="A43" t="s">
        <v>29</v>
      </c>
      <c r="B43" t="s">
        <v>25</v>
      </c>
      <c r="C43" t="s">
        <v>2</v>
      </c>
      <c r="D43">
        <v>2018</v>
      </c>
      <c r="E43">
        <v>87</v>
      </c>
      <c r="F43">
        <v>357</v>
      </c>
      <c r="G43">
        <v>125</v>
      </c>
      <c r="H43">
        <f>Sales[[#This Row],[Turnover]]-Sales[[#This Row],[Cost]]</f>
        <v>232</v>
      </c>
      <c r="I43" s="3">
        <f>Sales[[#This Row],[Turnover]]*1000/Sales[[#This Row],[Quantity]]</f>
        <v>4103.4482758620688</v>
      </c>
      <c r="J43" s="5">
        <f>Sales[[#This Row],[Quantity]]/SUM(Sales[Quantity])</f>
        <v>1.5792597809730056E-4</v>
      </c>
    </row>
    <row r="44" spans="1:10" x14ac:dyDescent="0.25">
      <c r="A44" t="s">
        <v>29</v>
      </c>
      <c r="B44" t="s">
        <v>25</v>
      </c>
      <c r="C44" t="s">
        <v>3</v>
      </c>
      <c r="D44">
        <v>2018</v>
      </c>
      <c r="E44">
        <v>96</v>
      </c>
      <c r="F44">
        <v>397</v>
      </c>
      <c r="G44">
        <v>137</v>
      </c>
      <c r="H44">
        <f>Sales[[#This Row],[Turnover]]-Sales[[#This Row],[Cost]]</f>
        <v>260</v>
      </c>
      <c r="I44" s="3">
        <f>Sales[[#This Row],[Turnover]]*1000/Sales[[#This Row],[Quantity]]</f>
        <v>4135.416666666667</v>
      </c>
      <c r="J44" s="5">
        <f>Sales[[#This Row],[Quantity]]/SUM(Sales[Quantity])</f>
        <v>1.7426314824529716E-4</v>
      </c>
    </row>
    <row r="45" spans="1:10" x14ac:dyDescent="0.25">
      <c r="A45" t="s">
        <v>29</v>
      </c>
      <c r="B45" t="s">
        <v>25</v>
      </c>
      <c r="C45" t="s">
        <v>18</v>
      </c>
      <c r="D45">
        <v>2018</v>
      </c>
      <c r="E45">
        <v>93</v>
      </c>
      <c r="F45">
        <v>381</v>
      </c>
      <c r="G45">
        <v>133</v>
      </c>
      <c r="H45">
        <f>Sales[[#This Row],[Turnover]]-Sales[[#This Row],[Cost]]</f>
        <v>248</v>
      </c>
      <c r="I45" s="3">
        <f>Sales[[#This Row],[Turnover]]*1000/Sales[[#This Row],[Quantity]]</f>
        <v>4096.7741935483873</v>
      </c>
      <c r="J45" s="5">
        <f>Sales[[#This Row],[Quantity]]/SUM(Sales[Quantity])</f>
        <v>1.6881742486263163E-4</v>
      </c>
    </row>
    <row r="46" spans="1:10" x14ac:dyDescent="0.25">
      <c r="A46" t="s">
        <v>29</v>
      </c>
      <c r="B46" t="s">
        <v>25</v>
      </c>
      <c r="C46" t="s">
        <v>4</v>
      </c>
      <c r="D46">
        <v>2018</v>
      </c>
      <c r="E46">
        <v>74</v>
      </c>
      <c r="F46">
        <v>303</v>
      </c>
      <c r="G46">
        <v>105</v>
      </c>
      <c r="H46">
        <f>Sales[[#This Row],[Turnover]]-Sales[[#This Row],[Cost]]</f>
        <v>198</v>
      </c>
      <c r="I46" s="3">
        <f>Sales[[#This Row],[Turnover]]*1000/Sales[[#This Row],[Quantity]]</f>
        <v>4094.5945945945946</v>
      </c>
      <c r="J46" s="5">
        <f>Sales[[#This Row],[Quantity]]/SUM(Sales[Quantity])</f>
        <v>1.3432784343908323E-4</v>
      </c>
    </row>
    <row r="47" spans="1:10" x14ac:dyDescent="0.25">
      <c r="A47" t="s">
        <v>29</v>
      </c>
      <c r="B47" t="s">
        <v>25</v>
      </c>
      <c r="C47" t="s">
        <v>19</v>
      </c>
      <c r="D47">
        <v>2018</v>
      </c>
      <c r="E47">
        <v>94</v>
      </c>
      <c r="F47">
        <v>383</v>
      </c>
      <c r="G47">
        <v>134</v>
      </c>
      <c r="H47">
        <f>Sales[[#This Row],[Turnover]]-Sales[[#This Row],[Cost]]</f>
        <v>249</v>
      </c>
      <c r="I47" s="3">
        <f>Sales[[#This Row],[Turnover]]*1000/Sales[[#This Row],[Quantity]]</f>
        <v>4074.4680851063831</v>
      </c>
      <c r="J47" s="5">
        <f>Sales[[#This Row],[Quantity]]/SUM(Sales[Quantity])</f>
        <v>1.7063266599018682E-4</v>
      </c>
    </row>
    <row r="48" spans="1:10" x14ac:dyDescent="0.25">
      <c r="A48" t="s">
        <v>27</v>
      </c>
      <c r="B48" t="s">
        <v>25</v>
      </c>
      <c r="C48" t="s">
        <v>12</v>
      </c>
      <c r="D48">
        <v>2019</v>
      </c>
      <c r="E48">
        <v>288</v>
      </c>
      <c r="F48">
        <v>202</v>
      </c>
      <c r="G48">
        <v>168</v>
      </c>
      <c r="H48">
        <f>Sales[[#This Row],[Turnover]]-Sales[[#This Row],[Cost]]</f>
        <v>34</v>
      </c>
      <c r="I48" s="3">
        <f>Sales[[#This Row],[Turnover]]*1000/Sales[[#This Row],[Quantity]]</f>
        <v>701.38888888888891</v>
      </c>
      <c r="J48" s="5">
        <f>Sales[[#This Row],[Quantity]]/SUM(Sales[Quantity])</f>
        <v>5.2278944473589152E-4</v>
      </c>
    </row>
    <row r="49" spans="1:10" x14ac:dyDescent="0.25">
      <c r="A49" t="s">
        <v>27</v>
      </c>
      <c r="B49" t="s">
        <v>25</v>
      </c>
      <c r="C49" t="s">
        <v>13</v>
      </c>
      <c r="D49">
        <v>2019</v>
      </c>
      <c r="E49">
        <v>340</v>
      </c>
      <c r="F49">
        <v>239</v>
      </c>
      <c r="G49">
        <v>198</v>
      </c>
      <c r="H49">
        <f>Sales[[#This Row],[Turnover]]-Sales[[#This Row],[Cost]]</f>
        <v>41</v>
      </c>
      <c r="I49" s="3">
        <f>Sales[[#This Row],[Turnover]]*1000/Sales[[#This Row],[Quantity]]</f>
        <v>702.94117647058829</v>
      </c>
      <c r="J49" s="5">
        <f>Sales[[#This Row],[Quantity]]/SUM(Sales[Quantity])</f>
        <v>6.1718198336876084E-4</v>
      </c>
    </row>
    <row r="50" spans="1:10" x14ac:dyDescent="0.25">
      <c r="A50" t="s">
        <v>27</v>
      </c>
      <c r="B50" t="s">
        <v>25</v>
      </c>
      <c r="C50" t="s">
        <v>16</v>
      </c>
      <c r="D50">
        <v>2019</v>
      </c>
      <c r="E50">
        <v>263</v>
      </c>
      <c r="F50">
        <v>183</v>
      </c>
      <c r="G50">
        <v>153</v>
      </c>
      <c r="H50">
        <f>Sales[[#This Row],[Turnover]]-Sales[[#This Row],[Cost]]</f>
        <v>30</v>
      </c>
      <c r="I50" s="3">
        <f>Sales[[#This Row],[Turnover]]*1000/Sales[[#This Row],[Quantity]]</f>
        <v>695.81749049429652</v>
      </c>
      <c r="J50" s="5">
        <f>Sales[[#This Row],[Quantity]]/SUM(Sales[Quantity])</f>
        <v>4.7740841654701202E-4</v>
      </c>
    </row>
    <row r="51" spans="1:10" x14ac:dyDescent="0.25">
      <c r="A51" t="s">
        <v>27</v>
      </c>
      <c r="B51" t="s">
        <v>25</v>
      </c>
      <c r="C51" t="s">
        <v>1</v>
      </c>
      <c r="D51">
        <v>2019</v>
      </c>
      <c r="E51">
        <v>287</v>
      </c>
      <c r="F51">
        <v>201</v>
      </c>
      <c r="G51">
        <v>167</v>
      </c>
      <c r="H51">
        <f>Sales[[#This Row],[Turnover]]-Sales[[#This Row],[Cost]]</f>
        <v>34</v>
      </c>
      <c r="I51" s="3">
        <f>Sales[[#This Row],[Turnover]]*1000/Sales[[#This Row],[Quantity]]</f>
        <v>700.34843205574919</v>
      </c>
      <c r="J51" s="5">
        <f>Sales[[#This Row],[Quantity]]/SUM(Sales[Quantity])</f>
        <v>5.2097420360833636E-4</v>
      </c>
    </row>
    <row r="52" spans="1:10" x14ac:dyDescent="0.25">
      <c r="A52" t="s">
        <v>27</v>
      </c>
      <c r="B52" t="s">
        <v>25</v>
      </c>
      <c r="C52" t="s">
        <v>17</v>
      </c>
      <c r="D52">
        <v>2019</v>
      </c>
      <c r="E52">
        <v>241</v>
      </c>
      <c r="F52">
        <v>169</v>
      </c>
      <c r="G52">
        <v>140</v>
      </c>
      <c r="H52">
        <f>Sales[[#This Row],[Turnover]]-Sales[[#This Row],[Cost]]</f>
        <v>29</v>
      </c>
      <c r="I52" s="3">
        <f>Sales[[#This Row],[Turnover]]*1000/Sales[[#This Row],[Quantity]]</f>
        <v>701.24481327800834</v>
      </c>
      <c r="J52" s="5">
        <f>Sales[[#This Row],[Quantity]]/SUM(Sales[Quantity])</f>
        <v>4.3747311174079811E-4</v>
      </c>
    </row>
    <row r="53" spans="1:10" x14ac:dyDescent="0.25">
      <c r="A53" t="s">
        <v>27</v>
      </c>
      <c r="B53" t="s">
        <v>25</v>
      </c>
      <c r="C53" t="s">
        <v>15</v>
      </c>
      <c r="D53">
        <v>2019</v>
      </c>
      <c r="E53">
        <v>291</v>
      </c>
      <c r="F53">
        <v>176</v>
      </c>
      <c r="G53">
        <v>169</v>
      </c>
      <c r="H53">
        <f>Sales[[#This Row],[Turnover]]-Sales[[#This Row],[Cost]]</f>
        <v>7</v>
      </c>
      <c r="I53" s="3">
        <f>Sales[[#This Row],[Turnover]]*1000/Sales[[#This Row],[Quantity]]</f>
        <v>604.81099656357389</v>
      </c>
      <c r="J53" s="5">
        <f>Sales[[#This Row],[Quantity]]/SUM(Sales[Quantity])</f>
        <v>5.28235168118557E-4</v>
      </c>
    </row>
    <row r="54" spans="1:10" x14ac:dyDescent="0.25">
      <c r="A54" t="s">
        <v>27</v>
      </c>
      <c r="B54" t="s">
        <v>25</v>
      </c>
      <c r="C54" t="s">
        <v>14</v>
      </c>
      <c r="D54">
        <v>2019</v>
      </c>
      <c r="E54">
        <v>272</v>
      </c>
      <c r="F54">
        <v>162</v>
      </c>
      <c r="G54">
        <v>158</v>
      </c>
      <c r="H54">
        <f>Sales[[#This Row],[Turnover]]-Sales[[#This Row],[Cost]]</f>
        <v>4</v>
      </c>
      <c r="I54" s="3">
        <f>Sales[[#This Row],[Turnover]]*1000/Sales[[#This Row],[Quantity]]</f>
        <v>595.58823529411768</v>
      </c>
      <c r="J54" s="5">
        <f>Sales[[#This Row],[Quantity]]/SUM(Sales[Quantity])</f>
        <v>4.9374558669500863E-4</v>
      </c>
    </row>
    <row r="55" spans="1:10" x14ac:dyDescent="0.25">
      <c r="A55" t="s">
        <v>27</v>
      </c>
      <c r="B55" t="s">
        <v>25</v>
      </c>
      <c r="C55" t="s">
        <v>2</v>
      </c>
      <c r="D55">
        <v>2019</v>
      </c>
      <c r="E55">
        <v>227</v>
      </c>
      <c r="F55">
        <v>136</v>
      </c>
      <c r="G55">
        <v>132</v>
      </c>
      <c r="H55">
        <f>Sales[[#This Row],[Turnover]]-Sales[[#This Row],[Cost]]</f>
        <v>4</v>
      </c>
      <c r="I55" s="3">
        <f>Sales[[#This Row],[Turnover]]*1000/Sales[[#This Row],[Quantity]]</f>
        <v>599.11894273127757</v>
      </c>
      <c r="J55" s="5">
        <f>Sales[[#This Row],[Quantity]]/SUM(Sales[Quantity])</f>
        <v>4.1205973595502559E-4</v>
      </c>
    </row>
    <row r="56" spans="1:10" x14ac:dyDescent="0.25">
      <c r="A56" t="s">
        <v>27</v>
      </c>
      <c r="B56" t="s">
        <v>25</v>
      </c>
      <c r="C56" t="s">
        <v>3</v>
      </c>
      <c r="D56">
        <v>2019</v>
      </c>
      <c r="E56">
        <v>202</v>
      </c>
      <c r="F56">
        <v>120</v>
      </c>
      <c r="G56">
        <v>117</v>
      </c>
      <c r="H56">
        <f>Sales[[#This Row],[Turnover]]-Sales[[#This Row],[Cost]]</f>
        <v>3</v>
      </c>
      <c r="I56" s="3">
        <f>Sales[[#This Row],[Turnover]]*1000/Sales[[#This Row],[Quantity]]</f>
        <v>594.05940594059405</v>
      </c>
      <c r="J56" s="5">
        <f>Sales[[#This Row],[Quantity]]/SUM(Sales[Quantity])</f>
        <v>3.6667870776614609E-4</v>
      </c>
    </row>
    <row r="57" spans="1:10" x14ac:dyDescent="0.25">
      <c r="A57" t="s">
        <v>27</v>
      </c>
      <c r="B57" t="s">
        <v>25</v>
      </c>
      <c r="C57" t="s">
        <v>18</v>
      </c>
      <c r="D57">
        <v>2019</v>
      </c>
      <c r="E57">
        <v>257</v>
      </c>
      <c r="F57">
        <v>153</v>
      </c>
      <c r="G57">
        <v>150</v>
      </c>
      <c r="H57">
        <f>Sales[[#This Row],[Turnover]]-Sales[[#This Row],[Cost]]</f>
        <v>3</v>
      </c>
      <c r="I57" s="3">
        <f>Sales[[#This Row],[Turnover]]*1000/Sales[[#This Row],[Quantity]]</f>
        <v>595.33073929961085</v>
      </c>
      <c r="J57" s="5">
        <f>Sales[[#This Row],[Quantity]]/SUM(Sales[Quantity])</f>
        <v>4.6651696978168095E-4</v>
      </c>
    </row>
    <row r="58" spans="1:10" x14ac:dyDescent="0.25">
      <c r="A58" t="s">
        <v>27</v>
      </c>
      <c r="B58" t="s">
        <v>25</v>
      </c>
      <c r="C58" t="s">
        <v>4</v>
      </c>
      <c r="D58">
        <v>2019</v>
      </c>
      <c r="E58">
        <v>215</v>
      </c>
      <c r="F58">
        <v>130</v>
      </c>
      <c r="G58">
        <v>125</v>
      </c>
      <c r="H58">
        <f>Sales[[#This Row],[Turnover]]-Sales[[#This Row],[Cost]]</f>
        <v>5</v>
      </c>
      <c r="I58" s="3">
        <f>Sales[[#This Row],[Turnover]]*1000/Sales[[#This Row],[Quantity]]</f>
        <v>604.65116279069764</v>
      </c>
      <c r="J58" s="5">
        <f>Sales[[#This Row],[Quantity]]/SUM(Sales[Quantity])</f>
        <v>3.9027684242436345E-4</v>
      </c>
    </row>
    <row r="59" spans="1:10" x14ac:dyDescent="0.25">
      <c r="A59" t="s">
        <v>27</v>
      </c>
      <c r="B59" t="s">
        <v>25</v>
      </c>
      <c r="C59" t="s">
        <v>19</v>
      </c>
      <c r="D59">
        <v>2019</v>
      </c>
      <c r="E59">
        <v>219</v>
      </c>
      <c r="F59">
        <v>130</v>
      </c>
      <c r="G59">
        <v>128</v>
      </c>
      <c r="H59">
        <f>Sales[[#This Row],[Turnover]]-Sales[[#This Row],[Cost]]</f>
        <v>2</v>
      </c>
      <c r="I59" s="3">
        <f>Sales[[#This Row],[Turnover]]*1000/Sales[[#This Row],[Quantity]]</f>
        <v>593.60730593607309</v>
      </c>
      <c r="J59" s="5">
        <f>Sales[[#This Row],[Quantity]]/SUM(Sales[Quantity])</f>
        <v>3.9753780693458415E-4</v>
      </c>
    </row>
    <row r="60" spans="1:10" x14ac:dyDescent="0.25">
      <c r="A60" t="s">
        <v>28</v>
      </c>
      <c r="B60" t="s">
        <v>25</v>
      </c>
      <c r="C60" t="s">
        <v>12</v>
      </c>
      <c r="D60">
        <v>2019</v>
      </c>
      <c r="E60">
        <v>223</v>
      </c>
      <c r="F60">
        <v>179</v>
      </c>
      <c r="G60">
        <v>134</v>
      </c>
      <c r="H60">
        <f>Sales[[#This Row],[Turnover]]-Sales[[#This Row],[Cost]]</f>
        <v>45</v>
      </c>
      <c r="I60" s="3">
        <f>Sales[[#This Row],[Turnover]]*1000/Sales[[#This Row],[Quantity]]</f>
        <v>802.69058295964123</v>
      </c>
      <c r="J60" s="5">
        <f>Sales[[#This Row],[Quantity]]/SUM(Sales[Quantity])</f>
        <v>4.047987714448049E-4</v>
      </c>
    </row>
    <row r="61" spans="1:10" x14ac:dyDescent="0.25">
      <c r="A61" t="s">
        <v>28</v>
      </c>
      <c r="B61" t="s">
        <v>25</v>
      </c>
      <c r="C61" t="s">
        <v>13</v>
      </c>
      <c r="D61">
        <v>2019</v>
      </c>
      <c r="E61">
        <v>214</v>
      </c>
      <c r="F61">
        <v>173</v>
      </c>
      <c r="G61">
        <v>129</v>
      </c>
      <c r="H61">
        <f>Sales[[#This Row],[Turnover]]-Sales[[#This Row],[Cost]]</f>
        <v>44</v>
      </c>
      <c r="I61" s="3">
        <f>Sales[[#This Row],[Turnover]]*1000/Sales[[#This Row],[Quantity]]</f>
        <v>808.41121495327104</v>
      </c>
      <c r="J61" s="5">
        <f>Sales[[#This Row],[Quantity]]/SUM(Sales[Quantity])</f>
        <v>3.8846160129680824E-4</v>
      </c>
    </row>
    <row r="62" spans="1:10" x14ac:dyDescent="0.25">
      <c r="A62" t="s">
        <v>28</v>
      </c>
      <c r="B62" t="s">
        <v>25</v>
      </c>
      <c r="C62" t="s">
        <v>16</v>
      </c>
      <c r="D62">
        <v>2019</v>
      </c>
      <c r="E62">
        <v>178</v>
      </c>
      <c r="F62">
        <v>142</v>
      </c>
      <c r="G62">
        <v>107</v>
      </c>
      <c r="H62">
        <f>Sales[[#This Row],[Turnover]]-Sales[[#This Row],[Cost]]</f>
        <v>35</v>
      </c>
      <c r="I62" s="3">
        <f>Sales[[#This Row],[Turnover]]*1000/Sales[[#This Row],[Quantity]]</f>
        <v>797.75280898876406</v>
      </c>
      <c r="J62" s="5">
        <f>Sales[[#This Row],[Quantity]]/SUM(Sales[Quantity])</f>
        <v>3.2311292070482181E-4</v>
      </c>
    </row>
    <row r="63" spans="1:10" x14ac:dyDescent="0.25">
      <c r="A63" t="s">
        <v>28</v>
      </c>
      <c r="B63" t="s">
        <v>25</v>
      </c>
      <c r="C63" t="s">
        <v>1</v>
      </c>
      <c r="D63">
        <v>2019</v>
      </c>
      <c r="E63">
        <v>190</v>
      </c>
      <c r="F63">
        <v>153</v>
      </c>
      <c r="G63">
        <v>115</v>
      </c>
      <c r="H63">
        <f>Sales[[#This Row],[Turnover]]-Sales[[#This Row],[Cost]]</f>
        <v>38</v>
      </c>
      <c r="I63" s="3">
        <f>Sales[[#This Row],[Turnover]]*1000/Sales[[#This Row],[Quantity]]</f>
        <v>805.26315789473688</v>
      </c>
      <c r="J63" s="5">
        <f>Sales[[#This Row],[Quantity]]/SUM(Sales[Quantity])</f>
        <v>3.4489581423548395E-4</v>
      </c>
    </row>
    <row r="64" spans="1:10" x14ac:dyDescent="0.25">
      <c r="A64" t="s">
        <v>28</v>
      </c>
      <c r="B64" t="s">
        <v>25</v>
      </c>
      <c r="C64" t="s">
        <v>17</v>
      </c>
      <c r="D64">
        <v>2019</v>
      </c>
      <c r="E64">
        <v>186</v>
      </c>
      <c r="F64">
        <v>148</v>
      </c>
      <c r="G64">
        <v>112</v>
      </c>
      <c r="H64">
        <f>Sales[[#This Row],[Turnover]]-Sales[[#This Row],[Cost]]</f>
        <v>36</v>
      </c>
      <c r="I64" s="3">
        <f>Sales[[#This Row],[Turnover]]*1000/Sales[[#This Row],[Quantity]]</f>
        <v>795.69892473118284</v>
      </c>
      <c r="J64" s="5">
        <f>Sales[[#This Row],[Quantity]]/SUM(Sales[Quantity])</f>
        <v>3.3763484972526326E-4</v>
      </c>
    </row>
    <row r="65" spans="1:10" x14ac:dyDescent="0.25">
      <c r="A65" t="s">
        <v>28</v>
      </c>
      <c r="B65" t="s">
        <v>25</v>
      </c>
      <c r="C65" t="s">
        <v>15</v>
      </c>
      <c r="D65">
        <v>2019</v>
      </c>
      <c r="E65">
        <v>222</v>
      </c>
      <c r="F65">
        <v>155</v>
      </c>
      <c r="G65">
        <v>134</v>
      </c>
      <c r="H65">
        <f>Sales[[#This Row],[Turnover]]-Sales[[#This Row],[Cost]]</f>
        <v>21</v>
      </c>
      <c r="I65" s="3">
        <f>Sales[[#This Row],[Turnover]]*1000/Sales[[#This Row],[Quantity]]</f>
        <v>698.19819819819816</v>
      </c>
      <c r="J65" s="5">
        <f>Sales[[#This Row],[Quantity]]/SUM(Sales[Quantity])</f>
        <v>4.0298353031724968E-4</v>
      </c>
    </row>
    <row r="66" spans="1:10" x14ac:dyDescent="0.25">
      <c r="A66" t="s">
        <v>28</v>
      </c>
      <c r="B66" t="s">
        <v>25</v>
      </c>
      <c r="C66" t="s">
        <v>14</v>
      </c>
      <c r="D66">
        <v>2019</v>
      </c>
      <c r="E66">
        <v>200</v>
      </c>
      <c r="F66">
        <v>140</v>
      </c>
      <c r="G66">
        <v>120</v>
      </c>
      <c r="H66">
        <f>Sales[[#This Row],[Turnover]]-Sales[[#This Row],[Cost]]</f>
        <v>20</v>
      </c>
      <c r="I66" s="3">
        <f>Sales[[#This Row],[Turnover]]*1000/Sales[[#This Row],[Quantity]]</f>
        <v>700</v>
      </c>
      <c r="J66" s="5">
        <f>Sales[[#This Row],[Quantity]]/SUM(Sales[Quantity])</f>
        <v>3.6304822551103577E-4</v>
      </c>
    </row>
    <row r="67" spans="1:10" x14ac:dyDescent="0.25">
      <c r="A67" t="s">
        <v>28</v>
      </c>
      <c r="B67" t="s">
        <v>25</v>
      </c>
      <c r="C67" t="s">
        <v>2</v>
      </c>
      <c r="D67">
        <v>2019</v>
      </c>
      <c r="E67">
        <v>213</v>
      </c>
      <c r="F67">
        <v>149</v>
      </c>
      <c r="G67">
        <v>128</v>
      </c>
      <c r="H67">
        <f>Sales[[#This Row],[Turnover]]-Sales[[#This Row],[Cost]]</f>
        <v>21</v>
      </c>
      <c r="I67" s="3">
        <f>Sales[[#This Row],[Turnover]]*1000/Sales[[#This Row],[Quantity]]</f>
        <v>699.53051643192487</v>
      </c>
      <c r="J67" s="5">
        <f>Sales[[#This Row],[Quantity]]/SUM(Sales[Quantity])</f>
        <v>3.8664636016925308E-4</v>
      </c>
    </row>
    <row r="68" spans="1:10" x14ac:dyDescent="0.25">
      <c r="A68" t="s">
        <v>28</v>
      </c>
      <c r="B68" t="s">
        <v>25</v>
      </c>
      <c r="C68" t="s">
        <v>3</v>
      </c>
      <c r="D68">
        <v>2019</v>
      </c>
      <c r="E68">
        <v>209</v>
      </c>
      <c r="F68">
        <v>145</v>
      </c>
      <c r="G68">
        <v>126</v>
      </c>
      <c r="H68">
        <f>Sales[[#This Row],[Turnover]]-Sales[[#This Row],[Cost]]</f>
        <v>19</v>
      </c>
      <c r="I68" s="3">
        <f>Sales[[#This Row],[Turnover]]*1000/Sales[[#This Row],[Quantity]]</f>
        <v>693.77990430622015</v>
      </c>
      <c r="J68" s="5">
        <f>Sales[[#This Row],[Quantity]]/SUM(Sales[Quantity])</f>
        <v>3.7938539565903238E-4</v>
      </c>
    </row>
    <row r="69" spans="1:10" x14ac:dyDescent="0.25">
      <c r="A69" t="s">
        <v>28</v>
      </c>
      <c r="B69" t="s">
        <v>25</v>
      </c>
      <c r="C69" t="s">
        <v>18</v>
      </c>
      <c r="D69">
        <v>2019</v>
      </c>
      <c r="E69">
        <v>231</v>
      </c>
      <c r="F69">
        <v>160</v>
      </c>
      <c r="G69">
        <v>139</v>
      </c>
      <c r="H69">
        <f>Sales[[#This Row],[Turnover]]-Sales[[#This Row],[Cost]]</f>
        <v>21</v>
      </c>
      <c r="I69" s="3">
        <f>Sales[[#This Row],[Turnover]]*1000/Sales[[#This Row],[Quantity]]</f>
        <v>692.64069264069269</v>
      </c>
      <c r="J69" s="5">
        <f>Sales[[#This Row],[Quantity]]/SUM(Sales[Quantity])</f>
        <v>4.1932070046524629E-4</v>
      </c>
    </row>
    <row r="70" spans="1:10" x14ac:dyDescent="0.25">
      <c r="A70" t="s">
        <v>28</v>
      </c>
      <c r="B70" t="s">
        <v>25</v>
      </c>
      <c r="C70" t="s">
        <v>4</v>
      </c>
      <c r="D70">
        <v>2019</v>
      </c>
      <c r="E70">
        <v>183</v>
      </c>
      <c r="F70">
        <v>128</v>
      </c>
      <c r="G70">
        <v>110</v>
      </c>
      <c r="H70">
        <f>Sales[[#This Row],[Turnover]]-Sales[[#This Row],[Cost]]</f>
        <v>18</v>
      </c>
      <c r="I70" s="3">
        <f>Sales[[#This Row],[Turnover]]*1000/Sales[[#This Row],[Quantity]]</f>
        <v>699.45355191256829</v>
      </c>
      <c r="J70" s="5">
        <f>Sales[[#This Row],[Quantity]]/SUM(Sales[Quantity])</f>
        <v>3.3218912634259772E-4</v>
      </c>
    </row>
    <row r="71" spans="1:10" x14ac:dyDescent="0.25">
      <c r="A71" t="s">
        <v>28</v>
      </c>
      <c r="B71" t="s">
        <v>25</v>
      </c>
      <c r="C71" t="s">
        <v>19</v>
      </c>
      <c r="D71">
        <v>2019</v>
      </c>
      <c r="E71">
        <v>194</v>
      </c>
      <c r="F71">
        <v>136</v>
      </c>
      <c r="G71">
        <v>117</v>
      </c>
      <c r="H71">
        <f>Sales[[#This Row],[Turnover]]-Sales[[#This Row],[Cost]]</f>
        <v>19</v>
      </c>
      <c r="I71" s="3">
        <f>Sales[[#This Row],[Turnover]]*1000/Sales[[#This Row],[Quantity]]</f>
        <v>701.03092783505156</v>
      </c>
      <c r="J71" s="5">
        <f>Sales[[#This Row],[Quantity]]/SUM(Sales[Quantity])</f>
        <v>3.521567787457047E-4</v>
      </c>
    </row>
    <row r="72" spans="1:10" x14ac:dyDescent="0.25">
      <c r="A72" t="s">
        <v>30</v>
      </c>
      <c r="B72" t="s">
        <v>25</v>
      </c>
      <c r="C72" t="s">
        <v>12</v>
      </c>
      <c r="D72">
        <v>2019</v>
      </c>
      <c r="E72">
        <v>181</v>
      </c>
      <c r="F72">
        <v>274</v>
      </c>
      <c r="G72">
        <v>219</v>
      </c>
      <c r="H72">
        <f>Sales[[#This Row],[Turnover]]-Sales[[#This Row],[Cost]]</f>
        <v>55</v>
      </c>
      <c r="I72" s="3">
        <f>Sales[[#This Row],[Turnover]]*1000/Sales[[#This Row],[Quantity]]</f>
        <v>1513.8121546961327</v>
      </c>
      <c r="J72" s="5">
        <f>Sales[[#This Row],[Quantity]]/SUM(Sales[Quantity])</f>
        <v>3.2855864408748735E-4</v>
      </c>
    </row>
    <row r="73" spans="1:10" x14ac:dyDescent="0.25">
      <c r="A73" t="s">
        <v>30</v>
      </c>
      <c r="B73" t="s">
        <v>25</v>
      </c>
      <c r="C73" t="s">
        <v>13</v>
      </c>
      <c r="D73">
        <v>2019</v>
      </c>
      <c r="E73">
        <v>147</v>
      </c>
      <c r="F73">
        <v>219</v>
      </c>
      <c r="G73">
        <v>178</v>
      </c>
      <c r="H73">
        <f>Sales[[#This Row],[Turnover]]-Sales[[#This Row],[Cost]]</f>
        <v>41</v>
      </c>
      <c r="I73" s="3">
        <f>Sales[[#This Row],[Turnover]]*1000/Sales[[#This Row],[Quantity]]</f>
        <v>1489.795918367347</v>
      </c>
      <c r="J73" s="5">
        <f>Sales[[#This Row],[Quantity]]/SUM(Sales[Quantity])</f>
        <v>2.6684044575061129E-4</v>
      </c>
    </row>
    <row r="74" spans="1:10" x14ac:dyDescent="0.25">
      <c r="A74" t="s">
        <v>30</v>
      </c>
      <c r="B74" t="s">
        <v>25</v>
      </c>
      <c r="C74" t="s">
        <v>16</v>
      </c>
      <c r="D74">
        <v>2019</v>
      </c>
      <c r="E74">
        <v>133</v>
      </c>
      <c r="F74">
        <v>200</v>
      </c>
      <c r="G74">
        <v>161</v>
      </c>
      <c r="H74">
        <f>Sales[[#This Row],[Turnover]]-Sales[[#This Row],[Cost]]</f>
        <v>39</v>
      </c>
      <c r="I74" s="3">
        <f>Sales[[#This Row],[Turnover]]*1000/Sales[[#This Row],[Quantity]]</f>
        <v>1503.7593984962407</v>
      </c>
      <c r="J74" s="5">
        <f>Sales[[#This Row],[Quantity]]/SUM(Sales[Quantity])</f>
        <v>2.4142706996483878E-4</v>
      </c>
    </row>
    <row r="75" spans="1:10" x14ac:dyDescent="0.25">
      <c r="A75" t="s">
        <v>30</v>
      </c>
      <c r="B75" t="s">
        <v>25</v>
      </c>
      <c r="C75" t="s">
        <v>1</v>
      </c>
      <c r="D75">
        <v>2019</v>
      </c>
      <c r="E75">
        <v>128</v>
      </c>
      <c r="F75">
        <v>194</v>
      </c>
      <c r="G75">
        <v>156</v>
      </c>
      <c r="H75">
        <f>Sales[[#This Row],[Turnover]]-Sales[[#This Row],[Cost]]</f>
        <v>38</v>
      </c>
      <c r="I75" s="3">
        <f>Sales[[#This Row],[Turnover]]*1000/Sales[[#This Row],[Quantity]]</f>
        <v>1515.625</v>
      </c>
      <c r="J75" s="5">
        <f>Sales[[#This Row],[Quantity]]/SUM(Sales[Quantity])</f>
        <v>2.3235086432706289E-4</v>
      </c>
    </row>
    <row r="76" spans="1:10" x14ac:dyDescent="0.25">
      <c r="A76" t="s">
        <v>30</v>
      </c>
      <c r="B76" t="s">
        <v>25</v>
      </c>
      <c r="C76" t="s">
        <v>17</v>
      </c>
      <c r="D76">
        <v>2019</v>
      </c>
      <c r="E76">
        <v>130</v>
      </c>
      <c r="F76">
        <v>193</v>
      </c>
      <c r="G76">
        <v>157</v>
      </c>
      <c r="H76">
        <f>Sales[[#This Row],[Turnover]]-Sales[[#This Row],[Cost]]</f>
        <v>36</v>
      </c>
      <c r="I76" s="3">
        <f>Sales[[#This Row],[Turnover]]*1000/Sales[[#This Row],[Quantity]]</f>
        <v>1484.6153846153845</v>
      </c>
      <c r="J76" s="5">
        <f>Sales[[#This Row],[Quantity]]/SUM(Sales[Quantity])</f>
        <v>2.3598134658217324E-4</v>
      </c>
    </row>
    <row r="77" spans="1:10" x14ac:dyDescent="0.25">
      <c r="A77" t="s">
        <v>30</v>
      </c>
      <c r="B77" t="s">
        <v>25</v>
      </c>
      <c r="C77" t="s">
        <v>15</v>
      </c>
      <c r="D77">
        <v>2019</v>
      </c>
      <c r="E77">
        <v>118</v>
      </c>
      <c r="F77">
        <v>177</v>
      </c>
      <c r="G77">
        <v>143</v>
      </c>
      <c r="H77">
        <f>Sales[[#This Row],[Turnover]]-Sales[[#This Row],[Cost]]</f>
        <v>34</v>
      </c>
      <c r="I77" s="3">
        <f>Sales[[#This Row],[Turnover]]*1000/Sales[[#This Row],[Quantity]]</f>
        <v>1500</v>
      </c>
      <c r="J77" s="5">
        <f>Sales[[#This Row],[Quantity]]/SUM(Sales[Quantity])</f>
        <v>2.141984530515111E-4</v>
      </c>
    </row>
    <row r="78" spans="1:10" x14ac:dyDescent="0.25">
      <c r="A78" t="s">
        <v>30</v>
      </c>
      <c r="B78" t="s">
        <v>25</v>
      </c>
      <c r="C78" t="s">
        <v>14</v>
      </c>
      <c r="D78">
        <v>2019</v>
      </c>
      <c r="E78">
        <v>120</v>
      </c>
      <c r="F78">
        <v>178</v>
      </c>
      <c r="G78">
        <v>145</v>
      </c>
      <c r="H78">
        <f>Sales[[#This Row],[Turnover]]-Sales[[#This Row],[Cost]]</f>
        <v>33</v>
      </c>
      <c r="I78" s="3">
        <f>Sales[[#This Row],[Turnover]]*1000/Sales[[#This Row],[Quantity]]</f>
        <v>1483.3333333333333</v>
      </c>
      <c r="J78" s="5">
        <f>Sales[[#This Row],[Quantity]]/SUM(Sales[Quantity])</f>
        <v>2.1782893530662145E-4</v>
      </c>
    </row>
    <row r="79" spans="1:10" x14ac:dyDescent="0.25">
      <c r="A79" t="s">
        <v>26</v>
      </c>
      <c r="B79" t="s">
        <v>25</v>
      </c>
      <c r="C79" t="s">
        <v>12</v>
      </c>
      <c r="D79">
        <v>2019</v>
      </c>
      <c r="E79">
        <v>114</v>
      </c>
      <c r="F79">
        <v>402</v>
      </c>
      <c r="G79">
        <v>138</v>
      </c>
      <c r="H79">
        <f>Sales[[#This Row],[Turnover]]-Sales[[#This Row],[Cost]]</f>
        <v>264</v>
      </c>
      <c r="I79" s="3">
        <f>Sales[[#This Row],[Turnover]]*1000/Sales[[#This Row],[Quantity]]</f>
        <v>3526.3157894736842</v>
      </c>
      <c r="J79" s="5">
        <f>Sales[[#This Row],[Quantity]]/SUM(Sales[Quantity])</f>
        <v>2.0693748854129038E-4</v>
      </c>
    </row>
    <row r="80" spans="1:10" x14ac:dyDescent="0.25">
      <c r="A80" t="s">
        <v>26</v>
      </c>
      <c r="B80" t="s">
        <v>25</v>
      </c>
      <c r="C80" t="s">
        <v>13</v>
      </c>
      <c r="D80">
        <v>2019</v>
      </c>
      <c r="E80">
        <v>114</v>
      </c>
      <c r="F80">
        <v>398</v>
      </c>
      <c r="G80">
        <v>139</v>
      </c>
      <c r="H80">
        <f>Sales[[#This Row],[Turnover]]-Sales[[#This Row],[Cost]]</f>
        <v>259</v>
      </c>
      <c r="I80" s="3">
        <f>Sales[[#This Row],[Turnover]]*1000/Sales[[#This Row],[Quantity]]</f>
        <v>3491.2280701754385</v>
      </c>
      <c r="J80" s="5">
        <f>Sales[[#This Row],[Quantity]]/SUM(Sales[Quantity])</f>
        <v>2.0693748854129038E-4</v>
      </c>
    </row>
    <row r="81" spans="1:10" x14ac:dyDescent="0.25">
      <c r="A81" t="s">
        <v>26</v>
      </c>
      <c r="B81" t="s">
        <v>25</v>
      </c>
      <c r="C81" t="s">
        <v>16</v>
      </c>
      <c r="D81">
        <v>2019</v>
      </c>
      <c r="E81">
        <v>103</v>
      </c>
      <c r="F81">
        <v>360</v>
      </c>
      <c r="G81">
        <v>125</v>
      </c>
      <c r="H81">
        <f>Sales[[#This Row],[Turnover]]-Sales[[#This Row],[Cost]]</f>
        <v>235</v>
      </c>
      <c r="I81" s="3">
        <f>Sales[[#This Row],[Turnover]]*1000/Sales[[#This Row],[Quantity]]</f>
        <v>3495.1456310679609</v>
      </c>
      <c r="J81" s="5">
        <f>Sales[[#This Row],[Quantity]]/SUM(Sales[Quantity])</f>
        <v>1.8696983613818342E-4</v>
      </c>
    </row>
    <row r="82" spans="1:10" x14ac:dyDescent="0.25">
      <c r="A82" t="s">
        <v>26</v>
      </c>
      <c r="B82" t="s">
        <v>25</v>
      </c>
      <c r="C82" t="s">
        <v>1</v>
      </c>
      <c r="D82">
        <v>2019</v>
      </c>
      <c r="E82">
        <v>114</v>
      </c>
      <c r="F82">
        <v>398</v>
      </c>
      <c r="G82">
        <v>138</v>
      </c>
      <c r="H82">
        <f>Sales[[#This Row],[Turnover]]-Sales[[#This Row],[Cost]]</f>
        <v>260</v>
      </c>
      <c r="I82" s="3">
        <f>Sales[[#This Row],[Turnover]]*1000/Sales[[#This Row],[Quantity]]</f>
        <v>3491.2280701754385</v>
      </c>
      <c r="J82" s="5">
        <f>Sales[[#This Row],[Quantity]]/SUM(Sales[Quantity])</f>
        <v>2.0693748854129038E-4</v>
      </c>
    </row>
    <row r="83" spans="1:10" x14ac:dyDescent="0.25">
      <c r="A83" t="s">
        <v>26</v>
      </c>
      <c r="B83" t="s">
        <v>25</v>
      </c>
      <c r="C83" t="s">
        <v>17</v>
      </c>
      <c r="D83">
        <v>2019</v>
      </c>
      <c r="E83">
        <v>101</v>
      </c>
      <c r="F83">
        <v>353</v>
      </c>
      <c r="G83">
        <v>122</v>
      </c>
      <c r="H83">
        <f>Sales[[#This Row],[Turnover]]-Sales[[#This Row],[Cost]]</f>
        <v>231</v>
      </c>
      <c r="I83" s="3">
        <f>Sales[[#This Row],[Turnover]]*1000/Sales[[#This Row],[Quantity]]</f>
        <v>3495.0495049504952</v>
      </c>
      <c r="J83" s="5">
        <f>Sales[[#This Row],[Quantity]]/SUM(Sales[Quantity])</f>
        <v>1.8333935388307305E-4</v>
      </c>
    </row>
    <row r="84" spans="1:10" x14ac:dyDescent="0.25">
      <c r="A84" t="s">
        <v>26</v>
      </c>
      <c r="B84" t="s">
        <v>25</v>
      </c>
      <c r="C84" t="s">
        <v>15</v>
      </c>
      <c r="D84">
        <v>2019</v>
      </c>
      <c r="E84">
        <v>94</v>
      </c>
      <c r="F84">
        <v>328</v>
      </c>
      <c r="G84">
        <v>114</v>
      </c>
      <c r="H84">
        <f>Sales[[#This Row],[Turnover]]-Sales[[#This Row],[Cost]]</f>
        <v>214</v>
      </c>
      <c r="I84" s="3">
        <f>Sales[[#This Row],[Turnover]]*1000/Sales[[#This Row],[Quantity]]</f>
        <v>3489.3617021276596</v>
      </c>
      <c r="J84" s="5">
        <f>Sales[[#This Row],[Quantity]]/SUM(Sales[Quantity])</f>
        <v>1.7063266599018682E-4</v>
      </c>
    </row>
    <row r="85" spans="1:10" x14ac:dyDescent="0.25">
      <c r="A85" t="s">
        <v>26</v>
      </c>
      <c r="B85" t="s">
        <v>25</v>
      </c>
      <c r="C85" t="s">
        <v>14</v>
      </c>
      <c r="D85">
        <v>2019</v>
      </c>
      <c r="E85">
        <v>110</v>
      </c>
      <c r="F85">
        <v>383</v>
      </c>
      <c r="G85">
        <v>133</v>
      </c>
      <c r="H85">
        <f>Sales[[#This Row],[Turnover]]-Sales[[#This Row],[Cost]]</f>
        <v>250</v>
      </c>
      <c r="I85" s="3">
        <f>Sales[[#This Row],[Turnover]]*1000/Sales[[#This Row],[Quantity]]</f>
        <v>3481.818181818182</v>
      </c>
      <c r="J85" s="5">
        <f>Sales[[#This Row],[Quantity]]/SUM(Sales[Quantity])</f>
        <v>1.9967652403106968E-4</v>
      </c>
    </row>
    <row r="86" spans="1:10" x14ac:dyDescent="0.25">
      <c r="A86" t="s">
        <v>26</v>
      </c>
      <c r="B86" t="s">
        <v>25</v>
      </c>
      <c r="C86" t="s">
        <v>2</v>
      </c>
      <c r="D86">
        <v>2019</v>
      </c>
      <c r="E86">
        <v>91</v>
      </c>
      <c r="F86">
        <v>316</v>
      </c>
      <c r="G86">
        <v>111</v>
      </c>
      <c r="H86">
        <f>Sales[[#This Row],[Turnover]]-Sales[[#This Row],[Cost]]</f>
        <v>205</v>
      </c>
      <c r="I86" s="3">
        <f>Sales[[#This Row],[Turnover]]*1000/Sales[[#This Row],[Quantity]]</f>
        <v>3472.5274725274726</v>
      </c>
      <c r="J86" s="5">
        <f>Sales[[#This Row],[Quantity]]/SUM(Sales[Quantity])</f>
        <v>1.6518694260752128E-4</v>
      </c>
    </row>
    <row r="87" spans="1:10" x14ac:dyDescent="0.25">
      <c r="A87" t="s">
        <v>26</v>
      </c>
      <c r="B87" t="s">
        <v>25</v>
      </c>
      <c r="C87" t="s">
        <v>3</v>
      </c>
      <c r="D87">
        <v>2019</v>
      </c>
      <c r="E87">
        <v>76</v>
      </c>
      <c r="F87">
        <v>264</v>
      </c>
      <c r="G87">
        <v>92</v>
      </c>
      <c r="H87">
        <f>Sales[[#This Row],[Turnover]]-Sales[[#This Row],[Cost]]</f>
        <v>172</v>
      </c>
      <c r="I87" s="3">
        <f>Sales[[#This Row],[Turnover]]*1000/Sales[[#This Row],[Quantity]]</f>
        <v>3473.6842105263158</v>
      </c>
      <c r="J87" s="5">
        <f>Sales[[#This Row],[Quantity]]/SUM(Sales[Quantity])</f>
        <v>1.3795832569419358E-4</v>
      </c>
    </row>
    <row r="88" spans="1:10" x14ac:dyDescent="0.25">
      <c r="A88" t="s">
        <v>26</v>
      </c>
      <c r="B88" t="s">
        <v>25</v>
      </c>
      <c r="C88" t="s">
        <v>18</v>
      </c>
      <c r="D88">
        <v>2019</v>
      </c>
      <c r="E88">
        <v>69</v>
      </c>
      <c r="F88">
        <v>242</v>
      </c>
      <c r="G88">
        <v>84</v>
      </c>
      <c r="H88">
        <f>Sales[[#This Row],[Turnover]]-Sales[[#This Row],[Cost]]</f>
        <v>158</v>
      </c>
      <c r="I88" s="3">
        <f>Sales[[#This Row],[Turnover]]*1000/Sales[[#This Row],[Quantity]]</f>
        <v>3507.246376811594</v>
      </c>
      <c r="J88" s="5">
        <f>Sales[[#This Row],[Quantity]]/SUM(Sales[Quantity])</f>
        <v>1.2525163780130734E-4</v>
      </c>
    </row>
    <row r="89" spans="1:10" x14ac:dyDescent="0.25">
      <c r="A89" t="s">
        <v>29</v>
      </c>
      <c r="B89" t="s">
        <v>25</v>
      </c>
      <c r="C89" t="s">
        <v>12</v>
      </c>
      <c r="D89">
        <v>2019</v>
      </c>
      <c r="E89">
        <v>97</v>
      </c>
      <c r="F89">
        <v>403</v>
      </c>
      <c r="G89">
        <v>139</v>
      </c>
      <c r="H89">
        <f>Sales[[#This Row],[Turnover]]-Sales[[#This Row],[Cost]]</f>
        <v>264</v>
      </c>
      <c r="I89" s="3">
        <f>Sales[[#This Row],[Turnover]]*1000/Sales[[#This Row],[Quantity]]</f>
        <v>4154.6391752577319</v>
      </c>
      <c r="J89" s="5">
        <f>Sales[[#This Row],[Quantity]]/SUM(Sales[Quantity])</f>
        <v>1.7607838937285235E-4</v>
      </c>
    </row>
    <row r="90" spans="1:10" x14ac:dyDescent="0.25">
      <c r="A90" t="s">
        <v>29</v>
      </c>
      <c r="B90" t="s">
        <v>25</v>
      </c>
      <c r="C90" t="s">
        <v>13</v>
      </c>
      <c r="D90">
        <v>2019</v>
      </c>
      <c r="E90">
        <v>88</v>
      </c>
      <c r="F90">
        <v>357</v>
      </c>
      <c r="G90">
        <v>125</v>
      </c>
      <c r="H90">
        <f>Sales[[#This Row],[Turnover]]-Sales[[#This Row],[Cost]]</f>
        <v>232</v>
      </c>
      <c r="I90" s="3">
        <f>Sales[[#This Row],[Turnover]]*1000/Sales[[#This Row],[Quantity]]</f>
        <v>4056.818181818182</v>
      </c>
      <c r="J90" s="5">
        <f>Sales[[#This Row],[Quantity]]/SUM(Sales[Quantity])</f>
        <v>1.5974121922485574E-4</v>
      </c>
    </row>
    <row r="91" spans="1:10" x14ac:dyDescent="0.25">
      <c r="A91" t="s">
        <v>29</v>
      </c>
      <c r="B91" t="s">
        <v>25</v>
      </c>
      <c r="C91" t="s">
        <v>16</v>
      </c>
      <c r="D91">
        <v>2019</v>
      </c>
      <c r="E91">
        <v>109</v>
      </c>
      <c r="F91">
        <v>445</v>
      </c>
      <c r="G91">
        <v>156</v>
      </c>
      <c r="H91">
        <f>Sales[[#This Row],[Turnover]]-Sales[[#This Row],[Cost]]</f>
        <v>289</v>
      </c>
      <c r="I91" s="3">
        <f>Sales[[#This Row],[Turnover]]*1000/Sales[[#This Row],[Quantity]]</f>
        <v>4082.5688073394494</v>
      </c>
      <c r="J91" s="5">
        <f>Sales[[#This Row],[Quantity]]/SUM(Sales[Quantity])</f>
        <v>1.9786128290351449E-4</v>
      </c>
    </row>
    <row r="92" spans="1:10" x14ac:dyDescent="0.25">
      <c r="A92" t="s">
        <v>29</v>
      </c>
      <c r="B92" t="s">
        <v>25</v>
      </c>
      <c r="C92" t="s">
        <v>1</v>
      </c>
      <c r="D92">
        <v>2019</v>
      </c>
      <c r="E92">
        <v>88</v>
      </c>
      <c r="F92">
        <v>362</v>
      </c>
      <c r="G92">
        <v>126</v>
      </c>
      <c r="H92">
        <f>Sales[[#This Row],[Turnover]]-Sales[[#This Row],[Cost]]</f>
        <v>236</v>
      </c>
      <c r="I92" s="3">
        <f>Sales[[#This Row],[Turnover]]*1000/Sales[[#This Row],[Quantity]]</f>
        <v>4113.636363636364</v>
      </c>
      <c r="J92" s="5">
        <f>Sales[[#This Row],[Quantity]]/SUM(Sales[Quantity])</f>
        <v>1.5974121922485574E-4</v>
      </c>
    </row>
    <row r="93" spans="1:10" x14ac:dyDescent="0.25">
      <c r="A93" t="s">
        <v>29</v>
      </c>
      <c r="B93" t="s">
        <v>25</v>
      </c>
      <c r="C93" t="s">
        <v>17</v>
      </c>
      <c r="D93">
        <v>2019</v>
      </c>
      <c r="E93">
        <v>100</v>
      </c>
      <c r="F93">
        <v>407</v>
      </c>
      <c r="G93">
        <v>142</v>
      </c>
      <c r="H93">
        <f>Sales[[#This Row],[Turnover]]-Sales[[#This Row],[Cost]]</f>
        <v>265</v>
      </c>
      <c r="I93" s="3">
        <f>Sales[[#This Row],[Turnover]]*1000/Sales[[#This Row],[Quantity]]</f>
        <v>4070</v>
      </c>
      <c r="J93" s="5">
        <f>Sales[[#This Row],[Quantity]]/SUM(Sales[Quantity])</f>
        <v>1.8152411275551789E-4</v>
      </c>
    </row>
    <row r="94" spans="1:10" x14ac:dyDescent="0.25">
      <c r="A94" t="s">
        <v>29</v>
      </c>
      <c r="B94" t="s">
        <v>25</v>
      </c>
      <c r="C94" t="s">
        <v>15</v>
      </c>
      <c r="D94">
        <v>2019</v>
      </c>
      <c r="E94">
        <v>90</v>
      </c>
      <c r="F94">
        <v>367</v>
      </c>
      <c r="G94">
        <v>129</v>
      </c>
      <c r="H94">
        <f>Sales[[#This Row],[Turnover]]-Sales[[#This Row],[Cost]]</f>
        <v>238</v>
      </c>
      <c r="I94" s="3">
        <f>Sales[[#This Row],[Turnover]]*1000/Sales[[#This Row],[Quantity]]</f>
        <v>4077.7777777777778</v>
      </c>
      <c r="J94" s="5">
        <f>Sales[[#This Row],[Quantity]]/SUM(Sales[Quantity])</f>
        <v>1.6337170147996609E-4</v>
      </c>
    </row>
    <row r="95" spans="1:10" x14ac:dyDescent="0.25">
      <c r="A95" t="s">
        <v>29</v>
      </c>
      <c r="B95" t="s">
        <v>25</v>
      </c>
      <c r="C95" t="s">
        <v>14</v>
      </c>
      <c r="D95">
        <v>2019</v>
      </c>
      <c r="E95">
        <v>94</v>
      </c>
      <c r="F95">
        <v>387</v>
      </c>
      <c r="G95">
        <v>135</v>
      </c>
      <c r="H95">
        <f>Sales[[#This Row],[Turnover]]-Sales[[#This Row],[Cost]]</f>
        <v>252</v>
      </c>
      <c r="I95" s="3">
        <f>Sales[[#This Row],[Turnover]]*1000/Sales[[#This Row],[Quantity]]</f>
        <v>4117.0212765957449</v>
      </c>
      <c r="J95" s="5">
        <f>Sales[[#This Row],[Quantity]]/SUM(Sales[Quantity])</f>
        <v>1.7063266599018682E-4</v>
      </c>
    </row>
    <row r="96" spans="1:10" x14ac:dyDescent="0.25">
      <c r="A96" t="s">
        <v>29</v>
      </c>
      <c r="B96" t="s">
        <v>25</v>
      </c>
      <c r="C96" t="s">
        <v>2</v>
      </c>
      <c r="D96">
        <v>2019</v>
      </c>
      <c r="E96">
        <v>73</v>
      </c>
      <c r="F96">
        <v>300</v>
      </c>
      <c r="G96">
        <v>104</v>
      </c>
      <c r="H96">
        <f>Sales[[#This Row],[Turnover]]-Sales[[#This Row],[Cost]]</f>
        <v>196</v>
      </c>
      <c r="I96" s="3">
        <f>Sales[[#This Row],[Turnover]]*1000/Sales[[#This Row],[Quantity]]</f>
        <v>4109.58904109589</v>
      </c>
      <c r="J96" s="5">
        <f>Sales[[#This Row],[Quantity]]/SUM(Sales[Quantity])</f>
        <v>1.3251260231152804E-4</v>
      </c>
    </row>
    <row r="97" spans="1:10" x14ac:dyDescent="0.25">
      <c r="A97" t="s">
        <v>29</v>
      </c>
      <c r="B97" t="s">
        <v>25</v>
      </c>
      <c r="C97" t="s">
        <v>3</v>
      </c>
      <c r="D97">
        <v>2019</v>
      </c>
      <c r="E97">
        <v>84</v>
      </c>
      <c r="F97">
        <v>346</v>
      </c>
      <c r="G97">
        <v>119</v>
      </c>
      <c r="H97">
        <f>Sales[[#This Row],[Turnover]]-Sales[[#This Row],[Cost]]</f>
        <v>227</v>
      </c>
      <c r="I97" s="3">
        <f>Sales[[#This Row],[Turnover]]*1000/Sales[[#This Row],[Quantity]]</f>
        <v>4119.0476190476193</v>
      </c>
      <c r="J97" s="5">
        <f>Sales[[#This Row],[Quantity]]/SUM(Sales[Quantity])</f>
        <v>1.5248025471463502E-4</v>
      </c>
    </row>
    <row r="98" spans="1:10" x14ac:dyDescent="0.25">
      <c r="A98" t="s">
        <v>29</v>
      </c>
      <c r="B98" t="s">
        <v>25</v>
      </c>
      <c r="C98" t="s">
        <v>18</v>
      </c>
      <c r="D98">
        <v>2019</v>
      </c>
      <c r="E98">
        <v>87</v>
      </c>
      <c r="F98">
        <v>354</v>
      </c>
      <c r="G98">
        <v>124</v>
      </c>
      <c r="H98">
        <f>Sales[[#This Row],[Turnover]]-Sales[[#This Row],[Cost]]</f>
        <v>230</v>
      </c>
      <c r="I98" s="3">
        <f>Sales[[#This Row],[Turnover]]*1000/Sales[[#This Row],[Quantity]]</f>
        <v>4068.9655172413795</v>
      </c>
      <c r="J98" s="5">
        <f>Sales[[#This Row],[Quantity]]/SUM(Sales[Quantity])</f>
        <v>1.5792597809730056E-4</v>
      </c>
    </row>
    <row r="99" spans="1:10" x14ac:dyDescent="0.25">
      <c r="A99" t="s">
        <v>27</v>
      </c>
      <c r="B99" t="s">
        <v>25</v>
      </c>
      <c r="C99" t="s">
        <v>12</v>
      </c>
      <c r="D99">
        <v>2020</v>
      </c>
      <c r="E99">
        <v>214</v>
      </c>
      <c r="F99">
        <v>128</v>
      </c>
      <c r="G99">
        <v>124</v>
      </c>
      <c r="H99">
        <f>Sales[[#This Row],[Turnover]]-Sales[[#This Row],[Cost]]</f>
        <v>4</v>
      </c>
      <c r="I99" s="3">
        <f>Sales[[#This Row],[Turnover]]*1000/Sales[[#This Row],[Quantity]]</f>
        <v>598.13084112149534</v>
      </c>
      <c r="J99" s="5">
        <f>Sales[[#This Row],[Quantity]]/SUM(Sales[Quantity])</f>
        <v>3.8846160129680824E-4</v>
      </c>
    </row>
    <row r="100" spans="1:10" x14ac:dyDescent="0.25">
      <c r="A100" t="s">
        <v>27</v>
      </c>
      <c r="B100" t="s">
        <v>25</v>
      </c>
      <c r="C100" t="s">
        <v>13</v>
      </c>
      <c r="D100">
        <v>2020</v>
      </c>
      <c r="E100">
        <v>261</v>
      </c>
      <c r="F100">
        <v>158</v>
      </c>
      <c r="G100">
        <v>152</v>
      </c>
      <c r="H100">
        <f>Sales[[#This Row],[Turnover]]-Sales[[#This Row],[Cost]]</f>
        <v>6</v>
      </c>
      <c r="I100" s="3">
        <f>Sales[[#This Row],[Turnover]]*1000/Sales[[#This Row],[Quantity]]</f>
        <v>605.36398467432946</v>
      </c>
      <c r="J100" s="5">
        <f>Sales[[#This Row],[Quantity]]/SUM(Sales[Quantity])</f>
        <v>4.7377793429190164E-4</v>
      </c>
    </row>
    <row r="101" spans="1:10" x14ac:dyDescent="0.25">
      <c r="A101" t="s">
        <v>27</v>
      </c>
      <c r="B101" t="s">
        <v>25</v>
      </c>
      <c r="C101" t="s">
        <v>16</v>
      </c>
      <c r="D101">
        <v>2020</v>
      </c>
      <c r="E101">
        <v>221</v>
      </c>
      <c r="F101">
        <v>133</v>
      </c>
      <c r="G101">
        <v>129</v>
      </c>
      <c r="H101">
        <f>Sales[[#This Row],[Turnover]]-Sales[[#This Row],[Cost]]</f>
        <v>4</v>
      </c>
      <c r="I101" s="3">
        <f>Sales[[#This Row],[Turnover]]*1000/Sales[[#This Row],[Quantity]]</f>
        <v>601.80995475113127</v>
      </c>
      <c r="J101" s="5">
        <f>Sales[[#This Row],[Quantity]]/SUM(Sales[Quantity])</f>
        <v>4.0116828918969452E-4</v>
      </c>
    </row>
    <row r="102" spans="1:10" x14ac:dyDescent="0.25">
      <c r="A102" t="s">
        <v>27</v>
      </c>
      <c r="B102" t="s">
        <v>25</v>
      </c>
      <c r="C102" t="s">
        <v>1</v>
      </c>
      <c r="D102">
        <v>2020</v>
      </c>
      <c r="E102">
        <v>187</v>
      </c>
      <c r="F102">
        <v>113</v>
      </c>
      <c r="G102">
        <v>109</v>
      </c>
      <c r="H102">
        <f>Sales[[#This Row],[Turnover]]-Sales[[#This Row],[Cost]]</f>
        <v>4</v>
      </c>
      <c r="I102" s="3">
        <f>Sales[[#This Row],[Turnover]]*1000/Sales[[#This Row],[Quantity]]</f>
        <v>604.27807486631013</v>
      </c>
      <c r="J102" s="5">
        <f>Sales[[#This Row],[Quantity]]/SUM(Sales[Quantity])</f>
        <v>3.3945009085281842E-4</v>
      </c>
    </row>
    <row r="103" spans="1:10" x14ac:dyDescent="0.25">
      <c r="A103" t="s">
        <v>27</v>
      </c>
      <c r="B103" t="s">
        <v>25</v>
      </c>
      <c r="C103" t="s">
        <v>17</v>
      </c>
      <c r="D103">
        <v>2020</v>
      </c>
      <c r="E103">
        <v>196</v>
      </c>
      <c r="F103">
        <v>118</v>
      </c>
      <c r="G103">
        <v>114</v>
      </c>
      <c r="H103">
        <f>Sales[[#This Row],[Turnover]]-Sales[[#This Row],[Cost]]</f>
        <v>4</v>
      </c>
      <c r="I103" s="3">
        <f>Sales[[#This Row],[Turnover]]*1000/Sales[[#This Row],[Quantity]]</f>
        <v>602.0408163265306</v>
      </c>
      <c r="J103" s="5">
        <f>Sales[[#This Row],[Quantity]]/SUM(Sales[Quantity])</f>
        <v>3.5578726100081502E-4</v>
      </c>
    </row>
    <row r="104" spans="1:10" x14ac:dyDescent="0.25">
      <c r="A104" t="s">
        <v>27</v>
      </c>
      <c r="B104" t="s">
        <v>25</v>
      </c>
      <c r="C104" t="s">
        <v>15</v>
      </c>
      <c r="D104">
        <v>2020</v>
      </c>
      <c r="E104">
        <v>159</v>
      </c>
      <c r="F104">
        <v>95</v>
      </c>
      <c r="G104">
        <v>93</v>
      </c>
      <c r="H104">
        <f>Sales[[#This Row],[Turnover]]-Sales[[#This Row],[Cost]]</f>
        <v>2</v>
      </c>
      <c r="I104" s="3">
        <f>Sales[[#This Row],[Turnover]]*1000/Sales[[#This Row],[Quantity]]</f>
        <v>597.48427672955972</v>
      </c>
      <c r="J104" s="5">
        <f>Sales[[#This Row],[Quantity]]/SUM(Sales[Quantity])</f>
        <v>2.8862333928127344E-4</v>
      </c>
    </row>
    <row r="105" spans="1:10" x14ac:dyDescent="0.25">
      <c r="A105" t="s">
        <v>27</v>
      </c>
      <c r="B105" t="s">
        <v>25</v>
      </c>
      <c r="C105" t="s">
        <v>14</v>
      </c>
      <c r="D105">
        <v>2020</v>
      </c>
      <c r="E105">
        <v>166</v>
      </c>
      <c r="F105">
        <v>100</v>
      </c>
      <c r="G105">
        <v>96</v>
      </c>
      <c r="H105">
        <f>Sales[[#This Row],[Turnover]]-Sales[[#This Row],[Cost]]</f>
        <v>4</v>
      </c>
      <c r="I105" s="3">
        <f>Sales[[#This Row],[Turnover]]*1000/Sales[[#This Row],[Quantity]]</f>
        <v>602.40963855421683</v>
      </c>
      <c r="J105" s="5">
        <f>Sales[[#This Row],[Quantity]]/SUM(Sales[Quantity])</f>
        <v>3.0133002717415967E-4</v>
      </c>
    </row>
    <row r="106" spans="1:10" x14ac:dyDescent="0.25">
      <c r="A106" t="s">
        <v>27</v>
      </c>
      <c r="B106" t="s">
        <v>25</v>
      </c>
      <c r="C106" t="s">
        <v>2</v>
      </c>
      <c r="D106">
        <v>2020</v>
      </c>
      <c r="E106">
        <v>172</v>
      </c>
      <c r="F106">
        <v>103</v>
      </c>
      <c r="G106">
        <v>100</v>
      </c>
      <c r="H106">
        <f>Sales[[#This Row],[Turnover]]-Sales[[#This Row],[Cost]]</f>
        <v>3</v>
      </c>
      <c r="I106" s="3">
        <f>Sales[[#This Row],[Turnover]]*1000/Sales[[#This Row],[Quantity]]</f>
        <v>598.83720930232562</v>
      </c>
      <c r="J106" s="5">
        <f>Sales[[#This Row],[Quantity]]/SUM(Sales[Quantity])</f>
        <v>3.1222147393949074E-4</v>
      </c>
    </row>
    <row r="107" spans="1:10" x14ac:dyDescent="0.25">
      <c r="A107" t="s">
        <v>27</v>
      </c>
      <c r="B107" t="s">
        <v>25</v>
      </c>
      <c r="C107" t="s">
        <v>3</v>
      </c>
      <c r="D107">
        <v>2020</v>
      </c>
      <c r="E107">
        <v>162</v>
      </c>
      <c r="F107">
        <v>96</v>
      </c>
      <c r="G107">
        <v>94</v>
      </c>
      <c r="H107">
        <f>Sales[[#This Row],[Turnover]]-Sales[[#This Row],[Cost]]</f>
        <v>2</v>
      </c>
      <c r="I107" s="3">
        <f>Sales[[#This Row],[Turnover]]*1000/Sales[[#This Row],[Quantity]]</f>
        <v>592.59259259259261</v>
      </c>
      <c r="J107" s="5">
        <f>Sales[[#This Row],[Quantity]]/SUM(Sales[Quantity])</f>
        <v>2.9406906266393897E-4</v>
      </c>
    </row>
    <row r="108" spans="1:10" x14ac:dyDescent="0.25">
      <c r="A108" t="s">
        <v>27</v>
      </c>
      <c r="B108" t="s">
        <v>25</v>
      </c>
      <c r="C108" t="s">
        <v>18</v>
      </c>
      <c r="D108">
        <v>2020</v>
      </c>
      <c r="E108">
        <v>121</v>
      </c>
      <c r="F108">
        <v>73</v>
      </c>
      <c r="G108">
        <v>70</v>
      </c>
      <c r="H108">
        <f>Sales[[#This Row],[Turnover]]-Sales[[#This Row],[Cost]]</f>
        <v>3</v>
      </c>
      <c r="I108" s="3">
        <f>Sales[[#This Row],[Turnover]]*1000/Sales[[#This Row],[Quantity]]</f>
        <v>603.30578512396698</v>
      </c>
      <c r="J108" s="5">
        <f>Sales[[#This Row],[Quantity]]/SUM(Sales[Quantity])</f>
        <v>2.1964417643417664E-4</v>
      </c>
    </row>
    <row r="109" spans="1:10" x14ac:dyDescent="0.25">
      <c r="A109" t="s">
        <v>27</v>
      </c>
      <c r="B109" t="s">
        <v>25</v>
      </c>
      <c r="C109" t="s">
        <v>4</v>
      </c>
      <c r="D109">
        <v>2020</v>
      </c>
      <c r="E109">
        <v>148</v>
      </c>
      <c r="F109">
        <v>89</v>
      </c>
      <c r="G109">
        <v>86</v>
      </c>
      <c r="H109">
        <f>Sales[[#This Row],[Turnover]]-Sales[[#This Row],[Cost]]</f>
        <v>3</v>
      </c>
      <c r="I109" s="3">
        <f>Sales[[#This Row],[Turnover]]*1000/Sales[[#This Row],[Quantity]]</f>
        <v>601.35135135135135</v>
      </c>
      <c r="J109" s="5">
        <f>Sales[[#This Row],[Quantity]]/SUM(Sales[Quantity])</f>
        <v>2.6865568687816645E-4</v>
      </c>
    </row>
    <row r="110" spans="1:10" x14ac:dyDescent="0.25">
      <c r="A110" t="s">
        <v>27</v>
      </c>
      <c r="B110" t="s">
        <v>25</v>
      </c>
      <c r="C110" t="s">
        <v>19</v>
      </c>
      <c r="D110">
        <v>2020</v>
      </c>
      <c r="E110">
        <v>132</v>
      </c>
      <c r="F110">
        <v>79</v>
      </c>
      <c r="G110">
        <v>77</v>
      </c>
      <c r="H110">
        <f>Sales[[#This Row],[Turnover]]-Sales[[#This Row],[Cost]]</f>
        <v>2</v>
      </c>
      <c r="I110" s="3">
        <f>Sales[[#This Row],[Turnover]]*1000/Sales[[#This Row],[Quantity]]</f>
        <v>598.4848484848485</v>
      </c>
      <c r="J110" s="5">
        <f>Sales[[#This Row],[Quantity]]/SUM(Sales[Quantity])</f>
        <v>2.3961182883728359E-4</v>
      </c>
    </row>
    <row r="111" spans="1:10" x14ac:dyDescent="0.25">
      <c r="A111" t="s">
        <v>28</v>
      </c>
      <c r="B111" t="s">
        <v>25</v>
      </c>
      <c r="C111" t="s">
        <v>12</v>
      </c>
      <c r="D111">
        <v>2020</v>
      </c>
      <c r="E111">
        <v>188</v>
      </c>
      <c r="F111">
        <v>133</v>
      </c>
      <c r="G111">
        <v>113</v>
      </c>
      <c r="H111">
        <f>Sales[[#This Row],[Turnover]]-Sales[[#This Row],[Cost]]</f>
        <v>20</v>
      </c>
      <c r="I111" s="3">
        <f>Sales[[#This Row],[Turnover]]*1000/Sales[[#This Row],[Quantity]]</f>
        <v>707.44680851063833</v>
      </c>
      <c r="J111" s="5">
        <f>Sales[[#This Row],[Quantity]]/SUM(Sales[Quantity])</f>
        <v>3.4126533198037363E-4</v>
      </c>
    </row>
    <row r="112" spans="1:10" x14ac:dyDescent="0.25">
      <c r="A112" t="s">
        <v>28</v>
      </c>
      <c r="B112" t="s">
        <v>25</v>
      </c>
      <c r="C112" t="s">
        <v>13</v>
      </c>
      <c r="D112">
        <v>2020</v>
      </c>
      <c r="E112">
        <v>179</v>
      </c>
      <c r="F112">
        <v>125</v>
      </c>
      <c r="G112">
        <v>108</v>
      </c>
      <c r="H112">
        <f>Sales[[#This Row],[Turnover]]-Sales[[#This Row],[Cost]]</f>
        <v>17</v>
      </c>
      <c r="I112" s="3">
        <f>Sales[[#This Row],[Turnover]]*1000/Sales[[#This Row],[Quantity]]</f>
        <v>698.32402234636868</v>
      </c>
      <c r="J112" s="5">
        <f>Sales[[#This Row],[Quantity]]/SUM(Sales[Quantity])</f>
        <v>3.2492816183237702E-4</v>
      </c>
    </row>
    <row r="113" spans="1:10" x14ac:dyDescent="0.25">
      <c r="A113" t="s">
        <v>28</v>
      </c>
      <c r="B113" t="s">
        <v>25</v>
      </c>
      <c r="C113" t="s">
        <v>16</v>
      </c>
      <c r="D113">
        <v>2020</v>
      </c>
      <c r="E113">
        <v>182</v>
      </c>
      <c r="F113">
        <v>127</v>
      </c>
      <c r="G113">
        <v>109</v>
      </c>
      <c r="H113">
        <f>Sales[[#This Row],[Turnover]]-Sales[[#This Row],[Cost]]</f>
        <v>18</v>
      </c>
      <c r="I113" s="3">
        <f>Sales[[#This Row],[Turnover]]*1000/Sales[[#This Row],[Quantity]]</f>
        <v>697.80219780219784</v>
      </c>
      <c r="J113" s="5">
        <f>Sales[[#This Row],[Quantity]]/SUM(Sales[Quantity])</f>
        <v>3.3037388521504256E-4</v>
      </c>
    </row>
    <row r="114" spans="1:10" x14ac:dyDescent="0.25">
      <c r="A114" t="s">
        <v>28</v>
      </c>
      <c r="B114" t="s">
        <v>25</v>
      </c>
      <c r="C114" t="s">
        <v>1</v>
      </c>
      <c r="D114">
        <v>2020</v>
      </c>
      <c r="E114">
        <v>174</v>
      </c>
      <c r="F114">
        <v>122</v>
      </c>
      <c r="G114">
        <v>105</v>
      </c>
      <c r="H114">
        <f>Sales[[#This Row],[Turnover]]-Sales[[#This Row],[Cost]]</f>
        <v>17</v>
      </c>
      <c r="I114" s="3">
        <f>Sales[[#This Row],[Turnover]]*1000/Sales[[#This Row],[Quantity]]</f>
        <v>701.14942528735628</v>
      </c>
      <c r="J114" s="5">
        <f>Sales[[#This Row],[Quantity]]/SUM(Sales[Quantity])</f>
        <v>3.1585195619460111E-4</v>
      </c>
    </row>
    <row r="115" spans="1:10" x14ac:dyDescent="0.25">
      <c r="A115" t="s">
        <v>28</v>
      </c>
      <c r="B115" t="s">
        <v>25</v>
      </c>
      <c r="C115" t="s">
        <v>17</v>
      </c>
      <c r="D115">
        <v>2020</v>
      </c>
      <c r="E115">
        <v>182</v>
      </c>
      <c r="F115">
        <v>127</v>
      </c>
      <c r="G115">
        <v>109</v>
      </c>
      <c r="H115">
        <f>Sales[[#This Row],[Turnover]]-Sales[[#This Row],[Cost]]</f>
        <v>18</v>
      </c>
      <c r="I115" s="3">
        <f>Sales[[#This Row],[Turnover]]*1000/Sales[[#This Row],[Quantity]]</f>
        <v>697.80219780219784</v>
      </c>
      <c r="J115" s="5">
        <f>Sales[[#This Row],[Quantity]]/SUM(Sales[Quantity])</f>
        <v>3.3037388521504256E-4</v>
      </c>
    </row>
    <row r="116" spans="1:10" x14ac:dyDescent="0.25">
      <c r="A116" t="s">
        <v>28</v>
      </c>
      <c r="B116" t="s">
        <v>25</v>
      </c>
      <c r="C116" t="s">
        <v>15</v>
      </c>
      <c r="D116">
        <v>2020</v>
      </c>
      <c r="E116">
        <v>149</v>
      </c>
      <c r="F116">
        <v>105</v>
      </c>
      <c r="G116">
        <v>90</v>
      </c>
      <c r="H116">
        <f>Sales[[#This Row],[Turnover]]-Sales[[#This Row],[Cost]]</f>
        <v>15</v>
      </c>
      <c r="I116" s="3">
        <f>Sales[[#This Row],[Turnover]]*1000/Sales[[#This Row],[Quantity]]</f>
        <v>704.69798657718115</v>
      </c>
      <c r="J116" s="5">
        <f>Sales[[#This Row],[Quantity]]/SUM(Sales[Quantity])</f>
        <v>2.7047092800572162E-4</v>
      </c>
    </row>
    <row r="117" spans="1:10" x14ac:dyDescent="0.25">
      <c r="A117" t="s">
        <v>28</v>
      </c>
      <c r="B117" t="s">
        <v>25</v>
      </c>
      <c r="C117" t="s">
        <v>14</v>
      </c>
      <c r="D117">
        <v>2020</v>
      </c>
      <c r="E117">
        <v>187</v>
      </c>
      <c r="F117">
        <v>130</v>
      </c>
      <c r="G117">
        <v>112</v>
      </c>
      <c r="H117">
        <f>Sales[[#This Row],[Turnover]]-Sales[[#This Row],[Cost]]</f>
        <v>18</v>
      </c>
      <c r="I117" s="3">
        <f>Sales[[#This Row],[Turnover]]*1000/Sales[[#This Row],[Quantity]]</f>
        <v>695.18716577540101</v>
      </c>
      <c r="J117" s="5">
        <f>Sales[[#This Row],[Quantity]]/SUM(Sales[Quantity])</f>
        <v>3.3945009085281842E-4</v>
      </c>
    </row>
    <row r="118" spans="1:10" x14ac:dyDescent="0.25">
      <c r="A118" t="s">
        <v>28</v>
      </c>
      <c r="B118" t="s">
        <v>25</v>
      </c>
      <c r="C118" t="s">
        <v>2</v>
      </c>
      <c r="D118">
        <v>2020</v>
      </c>
      <c r="E118">
        <v>161</v>
      </c>
      <c r="F118">
        <v>113</v>
      </c>
      <c r="G118">
        <v>97</v>
      </c>
      <c r="H118">
        <f>Sales[[#This Row],[Turnover]]-Sales[[#This Row],[Cost]]</f>
        <v>16</v>
      </c>
      <c r="I118" s="3">
        <f>Sales[[#This Row],[Turnover]]*1000/Sales[[#This Row],[Quantity]]</f>
        <v>701.86335403726707</v>
      </c>
      <c r="J118" s="5">
        <f>Sales[[#This Row],[Quantity]]/SUM(Sales[Quantity])</f>
        <v>2.9225382153638381E-4</v>
      </c>
    </row>
    <row r="119" spans="1:10" x14ac:dyDescent="0.25">
      <c r="A119" t="s">
        <v>28</v>
      </c>
      <c r="B119" t="s">
        <v>25</v>
      </c>
      <c r="C119" t="s">
        <v>3</v>
      </c>
      <c r="D119">
        <v>2020</v>
      </c>
      <c r="E119">
        <v>161</v>
      </c>
      <c r="F119">
        <v>113</v>
      </c>
      <c r="G119">
        <v>97</v>
      </c>
      <c r="H119">
        <f>Sales[[#This Row],[Turnover]]-Sales[[#This Row],[Cost]]</f>
        <v>16</v>
      </c>
      <c r="I119" s="3">
        <f>Sales[[#This Row],[Turnover]]*1000/Sales[[#This Row],[Quantity]]</f>
        <v>701.86335403726707</v>
      </c>
      <c r="J119" s="5">
        <f>Sales[[#This Row],[Quantity]]/SUM(Sales[Quantity])</f>
        <v>2.9225382153638381E-4</v>
      </c>
    </row>
    <row r="120" spans="1:10" x14ac:dyDescent="0.25">
      <c r="A120" t="s">
        <v>28</v>
      </c>
      <c r="B120" t="s">
        <v>25</v>
      </c>
      <c r="C120" t="s">
        <v>18</v>
      </c>
      <c r="D120">
        <v>2020</v>
      </c>
      <c r="E120">
        <v>191</v>
      </c>
      <c r="F120">
        <v>133</v>
      </c>
      <c r="G120">
        <v>115</v>
      </c>
      <c r="H120">
        <f>Sales[[#This Row],[Turnover]]-Sales[[#This Row],[Cost]]</f>
        <v>18</v>
      </c>
      <c r="I120" s="3">
        <f>Sales[[#This Row],[Turnover]]*1000/Sales[[#This Row],[Quantity]]</f>
        <v>696.33507853403137</v>
      </c>
      <c r="J120" s="5">
        <f>Sales[[#This Row],[Quantity]]/SUM(Sales[Quantity])</f>
        <v>3.4671105536303917E-4</v>
      </c>
    </row>
    <row r="121" spans="1:10" x14ac:dyDescent="0.25">
      <c r="A121" t="s">
        <v>28</v>
      </c>
      <c r="B121" t="s">
        <v>25</v>
      </c>
      <c r="C121" t="s">
        <v>4</v>
      </c>
      <c r="D121">
        <v>2020</v>
      </c>
      <c r="E121">
        <v>169</v>
      </c>
      <c r="F121">
        <v>118</v>
      </c>
      <c r="G121">
        <v>102</v>
      </c>
      <c r="H121">
        <f>Sales[[#This Row],[Turnover]]-Sales[[#This Row],[Cost]]</f>
        <v>16</v>
      </c>
      <c r="I121" s="3">
        <f>Sales[[#This Row],[Turnover]]*1000/Sales[[#This Row],[Quantity]]</f>
        <v>698.2248520710059</v>
      </c>
      <c r="J121" s="5">
        <f>Sales[[#This Row],[Quantity]]/SUM(Sales[Quantity])</f>
        <v>3.067757505568252E-4</v>
      </c>
    </row>
    <row r="122" spans="1:10" x14ac:dyDescent="0.25">
      <c r="A122" t="s">
        <v>28</v>
      </c>
      <c r="B122" t="s">
        <v>25</v>
      </c>
      <c r="C122" t="s">
        <v>19</v>
      </c>
      <c r="D122">
        <v>2020</v>
      </c>
      <c r="E122">
        <v>192</v>
      </c>
      <c r="F122">
        <v>135</v>
      </c>
      <c r="G122">
        <v>116</v>
      </c>
      <c r="H122">
        <f>Sales[[#This Row],[Turnover]]-Sales[[#This Row],[Cost]]</f>
        <v>19</v>
      </c>
      <c r="I122" s="3">
        <f>Sales[[#This Row],[Turnover]]*1000/Sales[[#This Row],[Quantity]]</f>
        <v>703.125</v>
      </c>
      <c r="J122" s="5">
        <f>Sales[[#This Row],[Quantity]]/SUM(Sales[Quantity])</f>
        <v>3.4852629649059433E-4</v>
      </c>
    </row>
    <row r="123" spans="1:10" x14ac:dyDescent="0.25">
      <c r="A123" t="s">
        <v>29</v>
      </c>
      <c r="B123" t="s">
        <v>25</v>
      </c>
      <c r="C123" t="s">
        <v>12</v>
      </c>
      <c r="D123">
        <v>2020</v>
      </c>
      <c r="E123">
        <v>48</v>
      </c>
      <c r="F123">
        <v>431</v>
      </c>
      <c r="G123">
        <v>155</v>
      </c>
      <c r="H123">
        <f>Sales[[#This Row],[Turnover]]-Sales[[#This Row],[Cost]]</f>
        <v>276</v>
      </c>
      <c r="I123" s="3">
        <f>Sales[[#This Row],[Turnover]]*1000/Sales[[#This Row],[Quantity]]</f>
        <v>8979.1666666666661</v>
      </c>
      <c r="J123" s="5">
        <f>Sales[[#This Row],[Quantity]]/SUM(Sales[Quantity])</f>
        <v>8.7131574122648582E-5</v>
      </c>
    </row>
    <row r="124" spans="1:10" x14ac:dyDescent="0.25">
      <c r="A124" t="s">
        <v>29</v>
      </c>
      <c r="B124" t="s">
        <v>25</v>
      </c>
      <c r="C124" t="s">
        <v>13</v>
      </c>
      <c r="D124">
        <v>2020</v>
      </c>
      <c r="E124">
        <v>55</v>
      </c>
      <c r="F124">
        <v>489</v>
      </c>
      <c r="G124">
        <v>176</v>
      </c>
      <c r="H124">
        <f>Sales[[#This Row],[Turnover]]-Sales[[#This Row],[Cost]]</f>
        <v>313</v>
      </c>
      <c r="I124" s="3">
        <f>Sales[[#This Row],[Turnover]]*1000/Sales[[#This Row],[Quantity]]</f>
        <v>8890.9090909090901</v>
      </c>
      <c r="J124" s="5">
        <f>Sales[[#This Row],[Quantity]]/SUM(Sales[Quantity])</f>
        <v>9.983826201553484E-5</v>
      </c>
    </row>
    <row r="125" spans="1:10" x14ac:dyDescent="0.25">
      <c r="A125" t="s">
        <v>29</v>
      </c>
      <c r="B125" t="s">
        <v>25</v>
      </c>
      <c r="C125" t="s">
        <v>16</v>
      </c>
      <c r="D125">
        <v>2020</v>
      </c>
      <c r="E125">
        <v>75</v>
      </c>
      <c r="F125">
        <v>672</v>
      </c>
      <c r="G125">
        <v>242</v>
      </c>
      <c r="H125">
        <f>Sales[[#This Row],[Turnover]]-Sales[[#This Row],[Cost]]</f>
        <v>430</v>
      </c>
      <c r="I125" s="3">
        <f>Sales[[#This Row],[Turnover]]*1000/Sales[[#This Row],[Quantity]]</f>
        <v>8960</v>
      </c>
      <c r="J125" s="5">
        <f>Sales[[#This Row],[Quantity]]/SUM(Sales[Quantity])</f>
        <v>1.3614308456663841E-4</v>
      </c>
    </row>
    <row r="126" spans="1:10" x14ac:dyDescent="0.25">
      <c r="A126" t="s">
        <v>29</v>
      </c>
      <c r="B126" t="s">
        <v>25</v>
      </c>
      <c r="C126" t="s">
        <v>1</v>
      </c>
      <c r="D126">
        <v>2020</v>
      </c>
      <c r="E126">
        <v>73</v>
      </c>
      <c r="F126">
        <v>581</v>
      </c>
      <c r="G126">
        <v>237</v>
      </c>
      <c r="H126">
        <f>Sales[[#This Row],[Turnover]]-Sales[[#This Row],[Cost]]</f>
        <v>344</v>
      </c>
      <c r="I126" s="3">
        <f>Sales[[#This Row],[Turnover]]*1000/Sales[[#This Row],[Quantity]]</f>
        <v>7958.9041095890407</v>
      </c>
      <c r="J126" s="5">
        <f>Sales[[#This Row],[Quantity]]/SUM(Sales[Quantity])</f>
        <v>1.3251260231152804E-4</v>
      </c>
    </row>
    <row r="127" spans="1:10" x14ac:dyDescent="0.25">
      <c r="A127" t="s">
        <v>29</v>
      </c>
      <c r="B127" t="s">
        <v>25</v>
      </c>
      <c r="C127" t="s">
        <v>17</v>
      </c>
      <c r="D127">
        <v>2020</v>
      </c>
      <c r="E127">
        <v>74</v>
      </c>
      <c r="F127">
        <v>592</v>
      </c>
      <c r="G127">
        <v>239</v>
      </c>
      <c r="H127">
        <f>Sales[[#This Row],[Turnover]]-Sales[[#This Row],[Cost]]</f>
        <v>353</v>
      </c>
      <c r="I127" s="3">
        <f>Sales[[#This Row],[Turnover]]*1000/Sales[[#This Row],[Quantity]]</f>
        <v>8000</v>
      </c>
      <c r="J127" s="5">
        <f>Sales[[#This Row],[Quantity]]/SUM(Sales[Quantity])</f>
        <v>1.3432784343908323E-4</v>
      </c>
    </row>
    <row r="128" spans="1:10" x14ac:dyDescent="0.25">
      <c r="A128" t="s">
        <v>29</v>
      </c>
      <c r="B128" t="s">
        <v>25</v>
      </c>
      <c r="C128" t="s">
        <v>15</v>
      </c>
      <c r="D128">
        <v>2020</v>
      </c>
      <c r="E128">
        <v>98</v>
      </c>
      <c r="F128">
        <v>784</v>
      </c>
      <c r="G128">
        <v>315</v>
      </c>
      <c r="H128">
        <f>Sales[[#This Row],[Turnover]]-Sales[[#This Row],[Cost]]</f>
        <v>469</v>
      </c>
      <c r="I128" s="3">
        <f>Sales[[#This Row],[Turnover]]*1000/Sales[[#This Row],[Quantity]]</f>
        <v>8000</v>
      </c>
      <c r="J128" s="5">
        <f>Sales[[#This Row],[Quantity]]/SUM(Sales[Quantity])</f>
        <v>1.7789363050040751E-4</v>
      </c>
    </row>
    <row r="129" spans="1:10" x14ac:dyDescent="0.25">
      <c r="A129" t="s">
        <v>29</v>
      </c>
      <c r="B129" t="s">
        <v>25</v>
      </c>
      <c r="C129" t="s">
        <v>14</v>
      </c>
      <c r="D129">
        <v>2020</v>
      </c>
      <c r="E129">
        <v>78</v>
      </c>
      <c r="F129">
        <v>624</v>
      </c>
      <c r="G129">
        <v>252</v>
      </c>
      <c r="H129">
        <f>Sales[[#This Row],[Turnover]]-Sales[[#This Row],[Cost]]</f>
        <v>372</v>
      </c>
      <c r="I129" s="3">
        <f>Sales[[#This Row],[Turnover]]*1000/Sales[[#This Row],[Quantity]]</f>
        <v>8000</v>
      </c>
      <c r="J129" s="5">
        <f>Sales[[#This Row],[Quantity]]/SUM(Sales[Quantity])</f>
        <v>1.4158880794930395E-4</v>
      </c>
    </row>
    <row r="130" spans="1:10" x14ac:dyDescent="0.25">
      <c r="A130" t="s">
        <v>29</v>
      </c>
      <c r="B130" t="s">
        <v>25</v>
      </c>
      <c r="C130" t="s">
        <v>2</v>
      </c>
      <c r="D130">
        <v>2020</v>
      </c>
      <c r="E130">
        <v>87</v>
      </c>
      <c r="F130">
        <v>694</v>
      </c>
      <c r="G130">
        <v>279</v>
      </c>
      <c r="H130">
        <f>Sales[[#This Row],[Turnover]]-Sales[[#This Row],[Cost]]</f>
        <v>415</v>
      </c>
      <c r="I130" s="3">
        <f>Sales[[#This Row],[Turnover]]*1000/Sales[[#This Row],[Quantity]]</f>
        <v>7977.0114942528735</v>
      </c>
      <c r="J130" s="5">
        <f>Sales[[#This Row],[Quantity]]/SUM(Sales[Quantity])</f>
        <v>1.5792597809730056E-4</v>
      </c>
    </row>
    <row r="131" spans="1:10" x14ac:dyDescent="0.25">
      <c r="A131" t="s">
        <v>29</v>
      </c>
      <c r="B131" t="s">
        <v>25</v>
      </c>
      <c r="C131" t="s">
        <v>3</v>
      </c>
      <c r="D131">
        <v>2020</v>
      </c>
      <c r="E131">
        <v>84</v>
      </c>
      <c r="F131">
        <v>666</v>
      </c>
      <c r="G131">
        <v>270</v>
      </c>
      <c r="H131">
        <f>Sales[[#This Row],[Turnover]]-Sales[[#This Row],[Cost]]</f>
        <v>396</v>
      </c>
      <c r="I131" s="3">
        <f>Sales[[#This Row],[Turnover]]*1000/Sales[[#This Row],[Quantity]]</f>
        <v>7928.5714285714284</v>
      </c>
      <c r="J131" s="5">
        <f>Sales[[#This Row],[Quantity]]/SUM(Sales[Quantity])</f>
        <v>1.5248025471463502E-4</v>
      </c>
    </row>
    <row r="132" spans="1:10" x14ac:dyDescent="0.25">
      <c r="A132" t="s">
        <v>29</v>
      </c>
      <c r="B132" t="s">
        <v>25</v>
      </c>
      <c r="C132" t="s">
        <v>18</v>
      </c>
      <c r="D132">
        <v>2020</v>
      </c>
      <c r="E132">
        <v>91</v>
      </c>
      <c r="F132">
        <v>728</v>
      </c>
      <c r="G132">
        <v>293</v>
      </c>
      <c r="H132">
        <f>Sales[[#This Row],[Turnover]]-Sales[[#This Row],[Cost]]</f>
        <v>435</v>
      </c>
      <c r="I132" s="3">
        <f>Sales[[#This Row],[Turnover]]*1000/Sales[[#This Row],[Quantity]]</f>
        <v>8000</v>
      </c>
      <c r="J132" s="5">
        <f>Sales[[#This Row],[Quantity]]/SUM(Sales[Quantity])</f>
        <v>1.6518694260752128E-4</v>
      </c>
    </row>
    <row r="133" spans="1:10" x14ac:dyDescent="0.25">
      <c r="A133" t="s">
        <v>29</v>
      </c>
      <c r="B133" t="s">
        <v>25</v>
      </c>
      <c r="C133" t="s">
        <v>4</v>
      </c>
      <c r="D133">
        <v>2020</v>
      </c>
      <c r="E133">
        <v>66</v>
      </c>
      <c r="F133">
        <v>527</v>
      </c>
      <c r="G133">
        <v>213</v>
      </c>
      <c r="H133">
        <f>Sales[[#This Row],[Turnover]]-Sales[[#This Row],[Cost]]</f>
        <v>314</v>
      </c>
      <c r="I133" s="3">
        <f>Sales[[#This Row],[Turnover]]*1000/Sales[[#This Row],[Quantity]]</f>
        <v>7984.848484848485</v>
      </c>
      <c r="J133" s="5">
        <f>Sales[[#This Row],[Quantity]]/SUM(Sales[Quantity])</f>
        <v>1.1980591441864179E-4</v>
      </c>
    </row>
    <row r="134" spans="1:10" x14ac:dyDescent="0.25">
      <c r="A134" t="s">
        <v>29</v>
      </c>
      <c r="B134" t="s">
        <v>25</v>
      </c>
      <c r="C134" t="s">
        <v>19</v>
      </c>
      <c r="D134">
        <v>2020</v>
      </c>
      <c r="E134">
        <v>96</v>
      </c>
      <c r="F134">
        <v>770</v>
      </c>
      <c r="G134">
        <v>311</v>
      </c>
      <c r="H134">
        <f>Sales[[#This Row],[Turnover]]-Sales[[#This Row],[Cost]]</f>
        <v>459</v>
      </c>
      <c r="I134" s="3">
        <f>Sales[[#This Row],[Turnover]]*1000/Sales[[#This Row],[Quantity]]</f>
        <v>8020.833333333333</v>
      </c>
      <c r="J134" s="5">
        <f>Sales[[#This Row],[Quantity]]/SUM(Sales[Quantity])</f>
        <v>1.7426314824529716E-4</v>
      </c>
    </row>
    <row r="135" spans="1:10" x14ac:dyDescent="0.25">
      <c r="A135" t="s">
        <v>30</v>
      </c>
      <c r="B135" t="s">
        <v>25</v>
      </c>
      <c r="C135" t="s">
        <v>13</v>
      </c>
      <c r="D135">
        <v>2020</v>
      </c>
      <c r="E135">
        <v>78</v>
      </c>
      <c r="F135">
        <v>234</v>
      </c>
      <c r="G135">
        <v>120</v>
      </c>
      <c r="H135">
        <f>Sales[[#This Row],[Turnover]]-Sales[[#This Row],[Cost]]</f>
        <v>114</v>
      </c>
      <c r="I135" s="3">
        <f>Sales[[#This Row],[Turnover]]*1000/Sales[[#This Row],[Quantity]]</f>
        <v>3000</v>
      </c>
      <c r="J135" s="5">
        <f>Sales[[#This Row],[Quantity]]/SUM(Sales[Quantity])</f>
        <v>1.4158880794930395E-4</v>
      </c>
    </row>
    <row r="136" spans="1:10" x14ac:dyDescent="0.25">
      <c r="A136" t="s">
        <v>30</v>
      </c>
      <c r="B136" t="s">
        <v>25</v>
      </c>
      <c r="C136" t="s">
        <v>16</v>
      </c>
      <c r="D136">
        <v>2020</v>
      </c>
      <c r="E136">
        <v>82</v>
      </c>
      <c r="F136">
        <v>247</v>
      </c>
      <c r="G136">
        <v>127</v>
      </c>
      <c r="H136">
        <f>Sales[[#This Row],[Turnover]]-Sales[[#This Row],[Cost]]</f>
        <v>120</v>
      </c>
      <c r="I136" s="3">
        <f>Sales[[#This Row],[Turnover]]*1000/Sales[[#This Row],[Quantity]]</f>
        <v>3012.1951219512193</v>
      </c>
      <c r="J136" s="5">
        <f>Sales[[#This Row],[Quantity]]/SUM(Sales[Quantity])</f>
        <v>1.4884977245952467E-4</v>
      </c>
    </row>
    <row r="137" spans="1:10" x14ac:dyDescent="0.25">
      <c r="A137" t="s">
        <v>30</v>
      </c>
      <c r="B137" t="s">
        <v>25</v>
      </c>
      <c r="C137" t="s">
        <v>1</v>
      </c>
      <c r="D137">
        <v>2020</v>
      </c>
      <c r="E137">
        <v>90</v>
      </c>
      <c r="F137">
        <v>269</v>
      </c>
      <c r="G137">
        <v>139</v>
      </c>
      <c r="H137">
        <f>Sales[[#This Row],[Turnover]]-Sales[[#This Row],[Cost]]</f>
        <v>130</v>
      </c>
      <c r="I137" s="3">
        <f>Sales[[#This Row],[Turnover]]*1000/Sales[[#This Row],[Quantity]]</f>
        <v>2988.8888888888887</v>
      </c>
      <c r="J137" s="5">
        <f>Sales[[#This Row],[Quantity]]/SUM(Sales[Quantity])</f>
        <v>1.6337170147996609E-4</v>
      </c>
    </row>
    <row r="138" spans="1:10" x14ac:dyDescent="0.25">
      <c r="A138" t="s">
        <v>30</v>
      </c>
      <c r="B138" t="s">
        <v>25</v>
      </c>
      <c r="C138" t="s">
        <v>17</v>
      </c>
      <c r="D138">
        <v>2020</v>
      </c>
      <c r="E138">
        <v>98</v>
      </c>
      <c r="F138">
        <v>290</v>
      </c>
      <c r="G138">
        <v>151</v>
      </c>
      <c r="H138">
        <f>Sales[[#This Row],[Turnover]]-Sales[[#This Row],[Cost]]</f>
        <v>139</v>
      </c>
      <c r="I138" s="3">
        <f>Sales[[#This Row],[Turnover]]*1000/Sales[[#This Row],[Quantity]]</f>
        <v>2959.1836734693879</v>
      </c>
      <c r="J138" s="5">
        <f>Sales[[#This Row],[Quantity]]/SUM(Sales[Quantity])</f>
        <v>1.7789363050040751E-4</v>
      </c>
    </row>
    <row r="139" spans="1:10" x14ac:dyDescent="0.25">
      <c r="A139" t="s">
        <v>30</v>
      </c>
      <c r="B139" t="s">
        <v>25</v>
      </c>
      <c r="C139" t="s">
        <v>15</v>
      </c>
      <c r="D139">
        <v>2020</v>
      </c>
      <c r="E139">
        <v>74</v>
      </c>
      <c r="F139">
        <v>221</v>
      </c>
      <c r="G139">
        <v>115</v>
      </c>
      <c r="H139">
        <f>Sales[[#This Row],[Turnover]]-Sales[[#This Row],[Cost]]</f>
        <v>106</v>
      </c>
      <c r="I139" s="3">
        <f>Sales[[#This Row],[Turnover]]*1000/Sales[[#This Row],[Quantity]]</f>
        <v>2986.4864864864867</v>
      </c>
      <c r="J139" s="5">
        <f>Sales[[#This Row],[Quantity]]/SUM(Sales[Quantity])</f>
        <v>1.3432784343908323E-4</v>
      </c>
    </row>
    <row r="140" spans="1:10" x14ac:dyDescent="0.25">
      <c r="A140" t="s">
        <v>30</v>
      </c>
      <c r="B140" t="s">
        <v>25</v>
      </c>
      <c r="C140" t="s">
        <v>14</v>
      </c>
      <c r="D140">
        <v>2020</v>
      </c>
      <c r="E140">
        <v>113</v>
      </c>
      <c r="F140">
        <v>314</v>
      </c>
      <c r="G140">
        <v>174</v>
      </c>
      <c r="H140">
        <f>Sales[[#This Row],[Turnover]]-Sales[[#This Row],[Cost]]</f>
        <v>140</v>
      </c>
      <c r="I140" s="3">
        <f>Sales[[#This Row],[Turnover]]*1000/Sales[[#This Row],[Quantity]]</f>
        <v>2778.7610619469028</v>
      </c>
      <c r="J140" s="5">
        <f>Sales[[#This Row],[Quantity]]/SUM(Sales[Quantity])</f>
        <v>2.0512224741373522E-4</v>
      </c>
    </row>
    <row r="141" spans="1:10" x14ac:dyDescent="0.25">
      <c r="A141" t="s">
        <v>30</v>
      </c>
      <c r="B141" t="s">
        <v>25</v>
      </c>
      <c r="C141" t="s">
        <v>2</v>
      </c>
      <c r="D141">
        <v>2020</v>
      </c>
      <c r="E141">
        <v>126</v>
      </c>
      <c r="F141">
        <v>351</v>
      </c>
      <c r="G141">
        <v>195</v>
      </c>
      <c r="H141">
        <f>Sales[[#This Row],[Turnover]]-Sales[[#This Row],[Cost]]</f>
        <v>156</v>
      </c>
      <c r="I141" s="3">
        <f>Sales[[#This Row],[Turnover]]*1000/Sales[[#This Row],[Quantity]]</f>
        <v>2785.7142857142858</v>
      </c>
      <c r="J141" s="5">
        <f>Sales[[#This Row],[Quantity]]/SUM(Sales[Quantity])</f>
        <v>2.2872038207195252E-4</v>
      </c>
    </row>
    <row r="142" spans="1:10" x14ac:dyDescent="0.25">
      <c r="A142" t="s">
        <v>30</v>
      </c>
      <c r="B142" t="s">
        <v>25</v>
      </c>
      <c r="C142" t="s">
        <v>3</v>
      </c>
      <c r="D142">
        <v>2020</v>
      </c>
      <c r="E142">
        <v>111</v>
      </c>
      <c r="F142">
        <v>305</v>
      </c>
      <c r="G142">
        <v>170</v>
      </c>
      <c r="H142">
        <f>Sales[[#This Row],[Turnover]]-Sales[[#This Row],[Cost]]</f>
        <v>135</v>
      </c>
      <c r="I142" s="3">
        <f>Sales[[#This Row],[Turnover]]*1000/Sales[[#This Row],[Quantity]]</f>
        <v>2747.7477477477478</v>
      </c>
      <c r="J142" s="5">
        <f>Sales[[#This Row],[Quantity]]/SUM(Sales[Quantity])</f>
        <v>2.0149176515862484E-4</v>
      </c>
    </row>
    <row r="143" spans="1:10" x14ac:dyDescent="0.25">
      <c r="A143" t="s">
        <v>30</v>
      </c>
      <c r="B143" t="s">
        <v>25</v>
      </c>
      <c r="C143" t="s">
        <v>18</v>
      </c>
      <c r="D143">
        <v>2020</v>
      </c>
      <c r="E143">
        <v>120</v>
      </c>
      <c r="F143">
        <v>329</v>
      </c>
      <c r="G143">
        <v>184</v>
      </c>
      <c r="H143">
        <f>Sales[[#This Row],[Turnover]]-Sales[[#This Row],[Cost]]</f>
        <v>145</v>
      </c>
      <c r="I143" s="3">
        <f>Sales[[#This Row],[Turnover]]*1000/Sales[[#This Row],[Quantity]]</f>
        <v>2741.6666666666665</v>
      </c>
      <c r="J143" s="5">
        <f>Sales[[#This Row],[Quantity]]/SUM(Sales[Quantity])</f>
        <v>2.1782893530662145E-4</v>
      </c>
    </row>
    <row r="144" spans="1:10" x14ac:dyDescent="0.25">
      <c r="A144" t="s">
        <v>30</v>
      </c>
      <c r="B144" t="s">
        <v>25</v>
      </c>
      <c r="C144" t="s">
        <v>4</v>
      </c>
      <c r="D144">
        <v>2020</v>
      </c>
      <c r="E144">
        <v>108</v>
      </c>
      <c r="F144">
        <v>298</v>
      </c>
      <c r="G144">
        <v>167</v>
      </c>
      <c r="H144">
        <f>Sales[[#This Row],[Turnover]]-Sales[[#This Row],[Cost]]</f>
        <v>131</v>
      </c>
      <c r="I144" s="3">
        <f>Sales[[#This Row],[Turnover]]*1000/Sales[[#This Row],[Quantity]]</f>
        <v>2759.2592592592591</v>
      </c>
      <c r="J144" s="5">
        <f>Sales[[#This Row],[Quantity]]/SUM(Sales[Quantity])</f>
        <v>1.9604604177595931E-4</v>
      </c>
    </row>
    <row r="145" spans="1:10" x14ac:dyDescent="0.25">
      <c r="A145" t="s">
        <v>30</v>
      </c>
      <c r="B145" t="s">
        <v>25</v>
      </c>
      <c r="C145" t="s">
        <v>19</v>
      </c>
      <c r="D145">
        <v>2020</v>
      </c>
      <c r="E145">
        <v>92</v>
      </c>
      <c r="F145">
        <v>251</v>
      </c>
      <c r="G145">
        <v>142</v>
      </c>
      <c r="H145">
        <f>Sales[[#This Row],[Turnover]]-Sales[[#This Row],[Cost]]</f>
        <v>109</v>
      </c>
      <c r="I145" s="3">
        <f>Sales[[#This Row],[Turnover]]*1000/Sales[[#This Row],[Quantity]]</f>
        <v>2728.2608695652175</v>
      </c>
      <c r="J145" s="5">
        <f>Sales[[#This Row],[Quantity]]/SUM(Sales[Quantity])</f>
        <v>1.6700218373507644E-4</v>
      </c>
    </row>
    <row r="146" spans="1:10" x14ac:dyDescent="0.25">
      <c r="A146" t="s">
        <v>26</v>
      </c>
      <c r="B146" t="s">
        <v>25</v>
      </c>
      <c r="C146" t="s">
        <v>17</v>
      </c>
      <c r="D146">
        <v>2020</v>
      </c>
      <c r="E146">
        <v>164</v>
      </c>
      <c r="F146">
        <v>456</v>
      </c>
      <c r="G146">
        <v>198</v>
      </c>
      <c r="H146">
        <f>Sales[[#This Row],[Turnover]]-Sales[[#This Row],[Cost]]</f>
        <v>258</v>
      </c>
      <c r="I146" s="3">
        <f>Sales[[#This Row],[Turnover]]*1000/Sales[[#This Row],[Quantity]]</f>
        <v>2780.4878048780488</v>
      </c>
      <c r="J146" s="5">
        <f>Sales[[#This Row],[Quantity]]/SUM(Sales[Quantity])</f>
        <v>2.9769954491904935E-4</v>
      </c>
    </row>
    <row r="147" spans="1:10" x14ac:dyDescent="0.25">
      <c r="A147" t="s">
        <v>26</v>
      </c>
      <c r="B147" t="s">
        <v>25</v>
      </c>
      <c r="C147" t="s">
        <v>15</v>
      </c>
      <c r="D147">
        <v>2020</v>
      </c>
      <c r="E147">
        <v>155</v>
      </c>
      <c r="F147">
        <v>435</v>
      </c>
      <c r="G147">
        <v>188</v>
      </c>
      <c r="H147">
        <f>Sales[[#This Row],[Turnover]]-Sales[[#This Row],[Cost]]</f>
        <v>247</v>
      </c>
      <c r="I147" s="3">
        <f>Sales[[#This Row],[Turnover]]*1000/Sales[[#This Row],[Quantity]]</f>
        <v>2806.4516129032259</v>
      </c>
      <c r="J147" s="5">
        <f>Sales[[#This Row],[Quantity]]/SUM(Sales[Quantity])</f>
        <v>2.8136237477105269E-4</v>
      </c>
    </row>
    <row r="148" spans="1:10" x14ac:dyDescent="0.25">
      <c r="A148" t="s">
        <v>26</v>
      </c>
      <c r="B148" t="s">
        <v>25</v>
      </c>
      <c r="C148" t="s">
        <v>14</v>
      </c>
      <c r="D148">
        <v>2020</v>
      </c>
      <c r="E148">
        <v>154</v>
      </c>
      <c r="F148">
        <v>427</v>
      </c>
      <c r="G148">
        <v>186</v>
      </c>
      <c r="H148">
        <f>Sales[[#This Row],[Turnover]]-Sales[[#This Row],[Cost]]</f>
        <v>241</v>
      </c>
      <c r="I148" s="3">
        <f>Sales[[#This Row],[Turnover]]*1000/Sales[[#This Row],[Quantity]]</f>
        <v>2772.7272727272725</v>
      </c>
      <c r="J148" s="5">
        <f>Sales[[#This Row],[Quantity]]/SUM(Sales[Quantity])</f>
        <v>2.7954713364349753E-4</v>
      </c>
    </row>
    <row r="149" spans="1:10" x14ac:dyDescent="0.25">
      <c r="A149" t="s">
        <v>26</v>
      </c>
      <c r="B149" t="s">
        <v>25</v>
      </c>
      <c r="C149" t="s">
        <v>2</v>
      </c>
      <c r="D149">
        <v>2020</v>
      </c>
      <c r="E149">
        <v>151</v>
      </c>
      <c r="F149">
        <v>422</v>
      </c>
      <c r="G149">
        <v>183</v>
      </c>
      <c r="H149">
        <f>Sales[[#This Row],[Turnover]]-Sales[[#This Row],[Cost]]</f>
        <v>239</v>
      </c>
      <c r="I149" s="3">
        <f>Sales[[#This Row],[Turnover]]*1000/Sales[[#This Row],[Quantity]]</f>
        <v>2794.701986754967</v>
      </c>
      <c r="J149" s="5">
        <f>Sales[[#This Row],[Quantity]]/SUM(Sales[Quantity])</f>
        <v>2.7410141026083199E-4</v>
      </c>
    </row>
    <row r="150" spans="1:10" x14ac:dyDescent="0.25">
      <c r="A150" t="s">
        <v>26</v>
      </c>
      <c r="B150" t="s">
        <v>25</v>
      </c>
      <c r="C150" t="s">
        <v>3</v>
      </c>
      <c r="D150">
        <v>2020</v>
      </c>
      <c r="E150">
        <v>164</v>
      </c>
      <c r="F150">
        <v>457</v>
      </c>
      <c r="G150">
        <v>199</v>
      </c>
      <c r="H150">
        <f>Sales[[#This Row],[Turnover]]-Sales[[#This Row],[Cost]]</f>
        <v>258</v>
      </c>
      <c r="I150" s="3">
        <f>Sales[[#This Row],[Turnover]]*1000/Sales[[#This Row],[Quantity]]</f>
        <v>2786.5853658536585</v>
      </c>
      <c r="J150" s="5">
        <f>Sales[[#This Row],[Quantity]]/SUM(Sales[Quantity])</f>
        <v>2.9769954491904935E-4</v>
      </c>
    </row>
    <row r="151" spans="1:10" x14ac:dyDescent="0.25">
      <c r="A151" t="s">
        <v>26</v>
      </c>
      <c r="B151" t="s">
        <v>25</v>
      </c>
      <c r="C151" t="s">
        <v>18</v>
      </c>
      <c r="D151">
        <v>2020</v>
      </c>
      <c r="E151">
        <v>139</v>
      </c>
      <c r="F151">
        <v>386</v>
      </c>
      <c r="G151">
        <v>168</v>
      </c>
      <c r="H151">
        <f>Sales[[#This Row],[Turnover]]-Sales[[#This Row],[Cost]]</f>
        <v>218</v>
      </c>
      <c r="I151" s="3">
        <f>Sales[[#This Row],[Turnover]]*1000/Sales[[#This Row],[Quantity]]</f>
        <v>2776.9784172661871</v>
      </c>
      <c r="J151" s="5">
        <f>Sales[[#This Row],[Quantity]]/SUM(Sales[Quantity])</f>
        <v>2.5231851673016985E-4</v>
      </c>
    </row>
    <row r="152" spans="1:10" x14ac:dyDescent="0.25">
      <c r="A152" t="s">
        <v>26</v>
      </c>
      <c r="B152" t="s">
        <v>25</v>
      </c>
      <c r="C152" t="s">
        <v>4</v>
      </c>
      <c r="D152">
        <v>2020</v>
      </c>
      <c r="E152">
        <v>150</v>
      </c>
      <c r="F152">
        <v>421</v>
      </c>
      <c r="G152">
        <v>181</v>
      </c>
      <c r="H152">
        <f>Sales[[#This Row],[Turnover]]-Sales[[#This Row],[Cost]]</f>
        <v>240</v>
      </c>
      <c r="I152" s="3">
        <f>Sales[[#This Row],[Turnover]]*1000/Sales[[#This Row],[Quantity]]</f>
        <v>2806.6666666666665</v>
      </c>
      <c r="J152" s="5">
        <f>Sales[[#This Row],[Quantity]]/SUM(Sales[Quantity])</f>
        <v>2.7228616913327683E-4</v>
      </c>
    </row>
    <row r="153" spans="1:10" x14ac:dyDescent="0.25">
      <c r="A153" t="s">
        <v>26</v>
      </c>
      <c r="B153" t="s">
        <v>25</v>
      </c>
      <c r="C153" t="s">
        <v>19</v>
      </c>
      <c r="D153">
        <v>2020</v>
      </c>
      <c r="E153">
        <v>162</v>
      </c>
      <c r="F153">
        <v>449</v>
      </c>
      <c r="G153">
        <v>196</v>
      </c>
      <c r="H153">
        <f>Sales[[#This Row],[Turnover]]-Sales[[#This Row],[Cost]]</f>
        <v>253</v>
      </c>
      <c r="I153" s="3">
        <f>Sales[[#This Row],[Turnover]]*1000/Sales[[#This Row],[Quantity]]</f>
        <v>2771.6049382716051</v>
      </c>
      <c r="J153" s="5">
        <f>Sales[[#This Row],[Quantity]]/SUM(Sales[Quantity])</f>
        <v>2.9406906266393897E-4</v>
      </c>
    </row>
    <row r="154" spans="1:10" x14ac:dyDescent="0.25">
      <c r="A154" t="s">
        <v>27</v>
      </c>
      <c r="B154" t="s">
        <v>21</v>
      </c>
      <c r="C154" t="s">
        <v>12</v>
      </c>
      <c r="D154">
        <v>2018</v>
      </c>
      <c r="E154">
        <v>271</v>
      </c>
      <c r="F154">
        <v>405</v>
      </c>
      <c r="G154">
        <v>157</v>
      </c>
      <c r="H154">
        <f>Sales[[#This Row],[Turnover]]-Sales[[#This Row],[Cost]]</f>
        <v>248</v>
      </c>
      <c r="I154" s="3">
        <f>Sales[[#This Row],[Turnover]]*1000/Sales[[#This Row],[Quantity]]</f>
        <v>1494.4649446494466</v>
      </c>
      <c r="J154" s="5">
        <f>Sales[[#This Row],[Quantity]]/SUM(Sales[Quantity])</f>
        <v>4.9193034556745347E-4</v>
      </c>
    </row>
    <row r="155" spans="1:10" x14ac:dyDescent="0.25">
      <c r="A155" t="s">
        <v>27</v>
      </c>
      <c r="B155" t="s">
        <v>21</v>
      </c>
      <c r="C155" t="s">
        <v>13</v>
      </c>
      <c r="D155">
        <v>2018</v>
      </c>
      <c r="E155">
        <v>322</v>
      </c>
      <c r="F155">
        <v>484</v>
      </c>
      <c r="G155">
        <v>187</v>
      </c>
      <c r="H155">
        <f>Sales[[#This Row],[Turnover]]-Sales[[#This Row],[Cost]]</f>
        <v>297</v>
      </c>
      <c r="I155" s="3">
        <f>Sales[[#This Row],[Turnover]]*1000/Sales[[#This Row],[Quantity]]</f>
        <v>1503.1055900621118</v>
      </c>
      <c r="J155" s="5">
        <f>Sales[[#This Row],[Quantity]]/SUM(Sales[Quantity])</f>
        <v>5.8450764307276762E-4</v>
      </c>
    </row>
    <row r="156" spans="1:10" x14ac:dyDescent="0.25">
      <c r="A156" t="s">
        <v>27</v>
      </c>
      <c r="B156" t="s">
        <v>21</v>
      </c>
      <c r="C156" t="s">
        <v>16</v>
      </c>
      <c r="D156">
        <v>2018</v>
      </c>
      <c r="E156">
        <v>451</v>
      </c>
      <c r="F156">
        <v>672</v>
      </c>
      <c r="G156">
        <v>262</v>
      </c>
      <c r="H156">
        <f>Sales[[#This Row],[Turnover]]-Sales[[#This Row],[Cost]]</f>
        <v>410</v>
      </c>
      <c r="I156" s="3">
        <f>Sales[[#This Row],[Turnover]]*1000/Sales[[#This Row],[Quantity]]</f>
        <v>1490.0221729490022</v>
      </c>
      <c r="J156" s="5">
        <f>Sales[[#This Row],[Quantity]]/SUM(Sales[Quantity])</f>
        <v>8.186737485273856E-4</v>
      </c>
    </row>
    <row r="157" spans="1:10" x14ac:dyDescent="0.25">
      <c r="A157" t="s">
        <v>27</v>
      </c>
      <c r="B157" t="s">
        <v>21</v>
      </c>
      <c r="C157" t="s">
        <v>1</v>
      </c>
      <c r="D157">
        <v>2018</v>
      </c>
      <c r="E157">
        <v>468</v>
      </c>
      <c r="F157">
        <v>698</v>
      </c>
      <c r="G157">
        <v>272</v>
      </c>
      <c r="H157">
        <f>Sales[[#This Row],[Turnover]]-Sales[[#This Row],[Cost]]</f>
        <v>426</v>
      </c>
      <c r="I157" s="3">
        <f>Sales[[#This Row],[Turnover]]*1000/Sales[[#This Row],[Quantity]]</f>
        <v>1491.4529914529915</v>
      </c>
      <c r="J157" s="5">
        <f>Sales[[#This Row],[Quantity]]/SUM(Sales[Quantity])</f>
        <v>8.4953284769582365E-4</v>
      </c>
    </row>
    <row r="158" spans="1:10" x14ac:dyDescent="0.25">
      <c r="A158" t="s">
        <v>27</v>
      </c>
      <c r="B158" t="s">
        <v>21</v>
      </c>
      <c r="C158" t="s">
        <v>17</v>
      </c>
      <c r="D158">
        <v>2018</v>
      </c>
      <c r="E158">
        <v>412</v>
      </c>
      <c r="F158">
        <v>621</v>
      </c>
      <c r="G158">
        <v>240</v>
      </c>
      <c r="H158">
        <f>Sales[[#This Row],[Turnover]]-Sales[[#This Row],[Cost]]</f>
        <v>381</v>
      </c>
      <c r="I158" s="3">
        <f>Sales[[#This Row],[Turnover]]*1000/Sales[[#This Row],[Quantity]]</f>
        <v>1507.2815533980583</v>
      </c>
      <c r="J158" s="5">
        <f>Sales[[#This Row],[Quantity]]/SUM(Sales[Quantity])</f>
        <v>7.4787934455273369E-4</v>
      </c>
    </row>
    <row r="159" spans="1:10" x14ac:dyDescent="0.25">
      <c r="A159" t="s">
        <v>27</v>
      </c>
      <c r="B159" t="s">
        <v>21</v>
      </c>
      <c r="C159" t="s">
        <v>15</v>
      </c>
      <c r="D159">
        <v>2018</v>
      </c>
      <c r="E159">
        <v>399</v>
      </c>
      <c r="F159">
        <v>599</v>
      </c>
      <c r="G159">
        <v>232</v>
      </c>
      <c r="H159">
        <f>Sales[[#This Row],[Turnover]]-Sales[[#This Row],[Cost]]</f>
        <v>367</v>
      </c>
      <c r="I159" s="3">
        <f>Sales[[#This Row],[Turnover]]*1000/Sales[[#This Row],[Quantity]]</f>
        <v>1501.2531328320802</v>
      </c>
      <c r="J159" s="5">
        <f>Sales[[#This Row],[Quantity]]/SUM(Sales[Quantity])</f>
        <v>7.2428120989451639E-4</v>
      </c>
    </row>
    <row r="160" spans="1:10" x14ac:dyDescent="0.25">
      <c r="A160" t="s">
        <v>27</v>
      </c>
      <c r="B160" t="s">
        <v>21</v>
      </c>
      <c r="C160" t="s">
        <v>14</v>
      </c>
      <c r="D160">
        <v>2018</v>
      </c>
      <c r="E160">
        <v>505</v>
      </c>
      <c r="F160">
        <v>455</v>
      </c>
      <c r="G160">
        <v>294</v>
      </c>
      <c r="H160">
        <f>Sales[[#This Row],[Turnover]]-Sales[[#This Row],[Cost]]</f>
        <v>161</v>
      </c>
      <c r="I160" s="3">
        <f>Sales[[#This Row],[Turnover]]*1000/Sales[[#This Row],[Quantity]]</f>
        <v>900.99009900990097</v>
      </c>
      <c r="J160" s="5">
        <f>Sales[[#This Row],[Quantity]]/SUM(Sales[Quantity])</f>
        <v>9.1669676941536534E-4</v>
      </c>
    </row>
    <row r="161" spans="1:10" x14ac:dyDescent="0.25">
      <c r="A161" t="s">
        <v>27</v>
      </c>
      <c r="B161" t="s">
        <v>21</v>
      </c>
      <c r="C161" t="s">
        <v>2</v>
      </c>
      <c r="D161">
        <v>2018</v>
      </c>
      <c r="E161">
        <v>470</v>
      </c>
      <c r="F161">
        <v>423</v>
      </c>
      <c r="G161">
        <v>274</v>
      </c>
      <c r="H161">
        <f>Sales[[#This Row],[Turnover]]-Sales[[#This Row],[Cost]]</f>
        <v>149</v>
      </c>
      <c r="I161" s="3">
        <f>Sales[[#This Row],[Turnover]]*1000/Sales[[#This Row],[Quantity]]</f>
        <v>900</v>
      </c>
      <c r="J161" s="5">
        <f>Sales[[#This Row],[Quantity]]/SUM(Sales[Quantity])</f>
        <v>8.5316332995093408E-4</v>
      </c>
    </row>
    <row r="162" spans="1:10" x14ac:dyDescent="0.25">
      <c r="A162" t="s">
        <v>27</v>
      </c>
      <c r="B162" t="s">
        <v>21</v>
      </c>
      <c r="C162" t="s">
        <v>3</v>
      </c>
      <c r="D162">
        <v>2018</v>
      </c>
      <c r="E162">
        <v>481</v>
      </c>
      <c r="F162">
        <v>434</v>
      </c>
      <c r="G162">
        <v>280</v>
      </c>
      <c r="H162">
        <f>Sales[[#This Row],[Turnover]]-Sales[[#This Row],[Cost]]</f>
        <v>154</v>
      </c>
      <c r="I162" s="3">
        <f>Sales[[#This Row],[Turnover]]*1000/Sales[[#This Row],[Quantity]]</f>
        <v>902.28690228690232</v>
      </c>
      <c r="J162" s="5">
        <f>Sales[[#This Row],[Quantity]]/SUM(Sales[Quantity])</f>
        <v>8.7313098235404095E-4</v>
      </c>
    </row>
    <row r="163" spans="1:10" x14ac:dyDescent="0.25">
      <c r="A163" t="s">
        <v>27</v>
      </c>
      <c r="B163" t="s">
        <v>21</v>
      </c>
      <c r="C163" t="s">
        <v>18</v>
      </c>
      <c r="D163">
        <v>2018</v>
      </c>
      <c r="E163">
        <v>424</v>
      </c>
      <c r="F163">
        <v>382</v>
      </c>
      <c r="G163">
        <v>247</v>
      </c>
      <c r="H163">
        <f>Sales[[#This Row],[Turnover]]-Sales[[#This Row],[Cost]]</f>
        <v>135</v>
      </c>
      <c r="I163" s="3">
        <f>Sales[[#This Row],[Turnover]]*1000/Sales[[#This Row],[Quantity]]</f>
        <v>900.94339622641508</v>
      </c>
      <c r="J163" s="5">
        <f>Sales[[#This Row],[Quantity]]/SUM(Sales[Quantity])</f>
        <v>7.6966223808339583E-4</v>
      </c>
    </row>
    <row r="164" spans="1:10" x14ac:dyDescent="0.25">
      <c r="A164" t="s">
        <v>27</v>
      </c>
      <c r="B164" t="s">
        <v>21</v>
      </c>
      <c r="C164" t="s">
        <v>4</v>
      </c>
      <c r="D164">
        <v>2018</v>
      </c>
      <c r="E164">
        <v>367</v>
      </c>
      <c r="F164">
        <v>331</v>
      </c>
      <c r="G164">
        <v>214</v>
      </c>
      <c r="H164">
        <f>Sales[[#This Row],[Turnover]]-Sales[[#This Row],[Cost]]</f>
        <v>117</v>
      </c>
      <c r="I164" s="3">
        <f>Sales[[#This Row],[Turnover]]*1000/Sales[[#This Row],[Quantity]]</f>
        <v>901.90735694822888</v>
      </c>
      <c r="J164" s="5">
        <f>Sales[[#This Row],[Quantity]]/SUM(Sales[Quantity])</f>
        <v>6.661934938127506E-4</v>
      </c>
    </row>
    <row r="165" spans="1:10" x14ac:dyDescent="0.25">
      <c r="A165" t="s">
        <v>27</v>
      </c>
      <c r="B165" t="s">
        <v>21</v>
      </c>
      <c r="C165" t="s">
        <v>19</v>
      </c>
      <c r="D165">
        <v>2018</v>
      </c>
      <c r="E165">
        <v>592</v>
      </c>
      <c r="F165">
        <v>414</v>
      </c>
      <c r="G165">
        <v>345</v>
      </c>
      <c r="H165">
        <f>Sales[[#This Row],[Turnover]]-Sales[[#This Row],[Cost]]</f>
        <v>69</v>
      </c>
      <c r="I165" s="3">
        <f>Sales[[#This Row],[Turnover]]*1000/Sales[[#This Row],[Quantity]]</f>
        <v>699.32432432432438</v>
      </c>
      <c r="J165" s="5">
        <f>Sales[[#This Row],[Quantity]]/SUM(Sales[Quantity])</f>
        <v>1.0746227475126658E-3</v>
      </c>
    </row>
    <row r="166" spans="1:10" x14ac:dyDescent="0.25">
      <c r="A166" t="s">
        <v>28</v>
      </c>
      <c r="B166" t="s">
        <v>21</v>
      </c>
      <c r="C166" t="s">
        <v>12</v>
      </c>
      <c r="D166">
        <v>2018</v>
      </c>
      <c r="E166">
        <v>184</v>
      </c>
      <c r="F166">
        <v>325</v>
      </c>
      <c r="G166">
        <v>0</v>
      </c>
      <c r="H166">
        <f>Sales[[#This Row],[Turnover]]-Sales[[#This Row],[Cost]]</f>
        <v>325</v>
      </c>
      <c r="I166" s="3">
        <f>Sales[[#This Row],[Turnover]]*1000/Sales[[#This Row],[Quantity]]</f>
        <v>1766.304347826087</v>
      </c>
      <c r="J166" s="5">
        <f>Sales[[#This Row],[Quantity]]/SUM(Sales[Quantity])</f>
        <v>3.3400436747015288E-4</v>
      </c>
    </row>
    <row r="167" spans="1:10" x14ac:dyDescent="0.25">
      <c r="A167" t="s">
        <v>28</v>
      </c>
      <c r="B167" t="s">
        <v>21</v>
      </c>
      <c r="C167" t="s">
        <v>13</v>
      </c>
      <c r="D167">
        <v>2018</v>
      </c>
      <c r="E167">
        <v>286</v>
      </c>
      <c r="F167">
        <v>504</v>
      </c>
      <c r="G167">
        <v>0</v>
      </c>
      <c r="H167">
        <f>Sales[[#This Row],[Turnover]]-Sales[[#This Row],[Cost]]</f>
        <v>504</v>
      </c>
      <c r="I167" s="3">
        <f>Sales[[#This Row],[Turnover]]*1000/Sales[[#This Row],[Quantity]]</f>
        <v>1762.2377622377621</v>
      </c>
      <c r="J167" s="5">
        <f>Sales[[#This Row],[Quantity]]/SUM(Sales[Quantity])</f>
        <v>5.1915896248078109E-4</v>
      </c>
    </row>
    <row r="168" spans="1:10" x14ac:dyDescent="0.25">
      <c r="A168" t="s">
        <v>28</v>
      </c>
      <c r="B168" t="s">
        <v>21</v>
      </c>
      <c r="C168" t="s">
        <v>16</v>
      </c>
      <c r="D168">
        <v>2018</v>
      </c>
      <c r="E168">
        <v>325</v>
      </c>
      <c r="F168">
        <v>574</v>
      </c>
      <c r="G168">
        <v>0</v>
      </c>
      <c r="H168">
        <f>Sales[[#This Row],[Turnover]]-Sales[[#This Row],[Cost]]</f>
        <v>574</v>
      </c>
      <c r="I168" s="3">
        <f>Sales[[#This Row],[Turnover]]*1000/Sales[[#This Row],[Quantity]]</f>
        <v>1766.1538461538462</v>
      </c>
      <c r="J168" s="5">
        <f>Sales[[#This Row],[Quantity]]/SUM(Sales[Quantity])</f>
        <v>5.899533664554331E-4</v>
      </c>
    </row>
    <row r="169" spans="1:10" x14ac:dyDescent="0.25">
      <c r="A169" t="s">
        <v>28</v>
      </c>
      <c r="B169" t="s">
        <v>21</v>
      </c>
      <c r="C169" t="s">
        <v>1</v>
      </c>
      <c r="D169">
        <v>2018</v>
      </c>
      <c r="E169">
        <v>264</v>
      </c>
      <c r="F169">
        <v>462</v>
      </c>
      <c r="G169">
        <v>0</v>
      </c>
      <c r="H169">
        <f>Sales[[#This Row],[Turnover]]-Sales[[#This Row],[Cost]]</f>
        <v>462</v>
      </c>
      <c r="I169" s="3">
        <f>Sales[[#This Row],[Turnover]]*1000/Sales[[#This Row],[Quantity]]</f>
        <v>1750</v>
      </c>
      <c r="J169" s="5">
        <f>Sales[[#This Row],[Quantity]]/SUM(Sales[Quantity])</f>
        <v>4.7922365767456718E-4</v>
      </c>
    </row>
    <row r="170" spans="1:10" x14ac:dyDescent="0.25">
      <c r="A170" t="s">
        <v>28</v>
      </c>
      <c r="B170" t="s">
        <v>21</v>
      </c>
      <c r="C170" t="s">
        <v>17</v>
      </c>
      <c r="D170">
        <v>2018</v>
      </c>
      <c r="E170">
        <v>230</v>
      </c>
      <c r="F170">
        <v>403</v>
      </c>
      <c r="G170">
        <v>0</v>
      </c>
      <c r="H170">
        <f>Sales[[#This Row],[Turnover]]-Sales[[#This Row],[Cost]]</f>
        <v>403</v>
      </c>
      <c r="I170" s="3">
        <f>Sales[[#This Row],[Turnover]]*1000/Sales[[#This Row],[Quantity]]</f>
        <v>1752.1739130434783</v>
      </c>
      <c r="J170" s="5">
        <f>Sales[[#This Row],[Quantity]]/SUM(Sales[Quantity])</f>
        <v>4.1750545933769113E-4</v>
      </c>
    </row>
    <row r="171" spans="1:10" x14ac:dyDescent="0.25">
      <c r="A171" t="s">
        <v>28</v>
      </c>
      <c r="B171" t="s">
        <v>21</v>
      </c>
      <c r="C171" t="s">
        <v>15</v>
      </c>
      <c r="D171">
        <v>2018</v>
      </c>
      <c r="E171">
        <v>213</v>
      </c>
      <c r="F171">
        <v>376</v>
      </c>
      <c r="G171">
        <v>0</v>
      </c>
      <c r="H171">
        <f>Sales[[#This Row],[Turnover]]-Sales[[#This Row],[Cost]]</f>
        <v>376</v>
      </c>
      <c r="I171" s="3">
        <f>Sales[[#This Row],[Turnover]]*1000/Sales[[#This Row],[Quantity]]</f>
        <v>1765.2582159624412</v>
      </c>
      <c r="J171" s="5">
        <f>Sales[[#This Row],[Quantity]]/SUM(Sales[Quantity])</f>
        <v>3.8664636016925308E-4</v>
      </c>
    </row>
    <row r="172" spans="1:10" x14ac:dyDescent="0.25">
      <c r="A172" t="s">
        <v>28</v>
      </c>
      <c r="B172" t="s">
        <v>21</v>
      </c>
      <c r="C172" t="s">
        <v>14</v>
      </c>
      <c r="D172">
        <v>2018</v>
      </c>
      <c r="E172">
        <v>441</v>
      </c>
      <c r="F172">
        <v>528</v>
      </c>
      <c r="G172">
        <v>265</v>
      </c>
      <c r="H172">
        <f>Sales[[#This Row],[Turnover]]-Sales[[#This Row],[Cost]]</f>
        <v>263</v>
      </c>
      <c r="I172" s="3">
        <f>Sales[[#This Row],[Turnover]]*1000/Sales[[#This Row],[Quantity]]</f>
        <v>1197.2789115646258</v>
      </c>
      <c r="J172" s="5">
        <f>Sales[[#This Row],[Quantity]]/SUM(Sales[Quantity])</f>
        <v>8.0052133725183388E-4</v>
      </c>
    </row>
    <row r="173" spans="1:10" x14ac:dyDescent="0.25">
      <c r="A173" t="s">
        <v>28</v>
      </c>
      <c r="B173" t="s">
        <v>21</v>
      </c>
      <c r="C173" t="s">
        <v>2</v>
      </c>
      <c r="D173">
        <v>2018</v>
      </c>
      <c r="E173">
        <v>385</v>
      </c>
      <c r="F173">
        <v>465</v>
      </c>
      <c r="G173">
        <v>232</v>
      </c>
      <c r="H173">
        <f>Sales[[#This Row],[Turnover]]-Sales[[#This Row],[Cost]]</f>
        <v>233</v>
      </c>
      <c r="I173" s="3">
        <f>Sales[[#This Row],[Turnover]]*1000/Sales[[#This Row],[Quantity]]</f>
        <v>1207.7922077922078</v>
      </c>
      <c r="J173" s="5">
        <f>Sales[[#This Row],[Quantity]]/SUM(Sales[Quantity])</f>
        <v>6.9886783410874381E-4</v>
      </c>
    </row>
    <row r="174" spans="1:10" x14ac:dyDescent="0.25">
      <c r="A174" t="s">
        <v>28</v>
      </c>
      <c r="B174" t="s">
        <v>21</v>
      </c>
      <c r="C174" t="s">
        <v>3</v>
      </c>
      <c r="D174">
        <v>2018</v>
      </c>
      <c r="E174">
        <v>409</v>
      </c>
      <c r="F174">
        <v>486</v>
      </c>
      <c r="G174">
        <v>246</v>
      </c>
      <c r="H174">
        <f>Sales[[#This Row],[Turnover]]-Sales[[#This Row],[Cost]]</f>
        <v>240</v>
      </c>
      <c r="I174" s="3">
        <f>Sales[[#This Row],[Turnover]]*1000/Sales[[#This Row],[Quantity]]</f>
        <v>1188.2640586797065</v>
      </c>
      <c r="J174" s="5">
        <f>Sales[[#This Row],[Quantity]]/SUM(Sales[Quantity])</f>
        <v>7.424336211700681E-4</v>
      </c>
    </row>
    <row r="175" spans="1:10" x14ac:dyDescent="0.25">
      <c r="A175" t="s">
        <v>28</v>
      </c>
      <c r="B175" t="s">
        <v>21</v>
      </c>
      <c r="C175" t="s">
        <v>18</v>
      </c>
      <c r="D175">
        <v>2018</v>
      </c>
      <c r="E175">
        <v>392</v>
      </c>
      <c r="F175">
        <v>468</v>
      </c>
      <c r="G175">
        <v>236</v>
      </c>
      <c r="H175">
        <f>Sales[[#This Row],[Turnover]]-Sales[[#This Row],[Cost]]</f>
        <v>232</v>
      </c>
      <c r="I175" s="3">
        <f>Sales[[#This Row],[Turnover]]*1000/Sales[[#This Row],[Quantity]]</f>
        <v>1193.8775510204082</v>
      </c>
      <c r="J175" s="5">
        <f>Sales[[#This Row],[Quantity]]/SUM(Sales[Quantity])</f>
        <v>7.1157452200163005E-4</v>
      </c>
    </row>
    <row r="176" spans="1:10" x14ac:dyDescent="0.25">
      <c r="A176" t="s">
        <v>28</v>
      </c>
      <c r="B176" t="s">
        <v>21</v>
      </c>
      <c r="C176" t="s">
        <v>4</v>
      </c>
      <c r="D176">
        <v>2018</v>
      </c>
      <c r="E176">
        <v>366</v>
      </c>
      <c r="F176">
        <v>438</v>
      </c>
      <c r="G176">
        <v>220</v>
      </c>
      <c r="H176">
        <f>Sales[[#This Row],[Turnover]]-Sales[[#This Row],[Cost]]</f>
        <v>218</v>
      </c>
      <c r="I176" s="3">
        <f>Sales[[#This Row],[Turnover]]*1000/Sales[[#This Row],[Quantity]]</f>
        <v>1196.7213114754099</v>
      </c>
      <c r="J176" s="5">
        <f>Sales[[#This Row],[Quantity]]/SUM(Sales[Quantity])</f>
        <v>6.6437825268519544E-4</v>
      </c>
    </row>
    <row r="177" spans="1:10" x14ac:dyDescent="0.25">
      <c r="A177" t="s">
        <v>28</v>
      </c>
      <c r="B177" t="s">
        <v>21</v>
      </c>
      <c r="C177" t="s">
        <v>19</v>
      </c>
      <c r="D177">
        <v>2018</v>
      </c>
      <c r="E177">
        <v>446</v>
      </c>
      <c r="F177">
        <v>356</v>
      </c>
      <c r="G177">
        <v>268</v>
      </c>
      <c r="H177">
        <f>Sales[[#This Row],[Turnover]]-Sales[[#This Row],[Cost]]</f>
        <v>88</v>
      </c>
      <c r="I177" s="3">
        <f>Sales[[#This Row],[Turnover]]*1000/Sales[[#This Row],[Quantity]]</f>
        <v>798.20627802690581</v>
      </c>
      <c r="J177" s="5">
        <f>Sales[[#This Row],[Quantity]]/SUM(Sales[Quantity])</f>
        <v>8.0959754288960979E-4</v>
      </c>
    </row>
    <row r="178" spans="1:10" x14ac:dyDescent="0.25">
      <c r="A178" t="s">
        <v>30</v>
      </c>
      <c r="B178" t="s">
        <v>21</v>
      </c>
      <c r="C178" t="s">
        <v>12</v>
      </c>
      <c r="D178">
        <v>2018</v>
      </c>
      <c r="E178">
        <v>538</v>
      </c>
      <c r="F178">
        <v>1051</v>
      </c>
      <c r="G178">
        <v>652</v>
      </c>
      <c r="H178">
        <f>Sales[[#This Row],[Turnover]]-Sales[[#This Row],[Cost]]</f>
        <v>399</v>
      </c>
      <c r="I178" s="3">
        <f>Sales[[#This Row],[Turnover]]*1000/Sales[[#This Row],[Quantity]]</f>
        <v>1953.5315985130112</v>
      </c>
      <c r="J178" s="5">
        <f>Sales[[#This Row],[Quantity]]/SUM(Sales[Quantity])</f>
        <v>9.7659972662468629E-4</v>
      </c>
    </row>
    <row r="179" spans="1:10" x14ac:dyDescent="0.25">
      <c r="A179" t="s">
        <v>30</v>
      </c>
      <c r="B179" t="s">
        <v>21</v>
      </c>
      <c r="C179" t="s">
        <v>13</v>
      </c>
      <c r="D179">
        <v>2018</v>
      </c>
      <c r="E179">
        <v>458</v>
      </c>
      <c r="F179">
        <v>899</v>
      </c>
      <c r="G179">
        <v>555</v>
      </c>
      <c r="H179">
        <f>Sales[[#This Row],[Turnover]]-Sales[[#This Row],[Cost]]</f>
        <v>344</v>
      </c>
      <c r="I179" s="3">
        <f>Sales[[#This Row],[Turnover]]*1000/Sales[[#This Row],[Quantity]]</f>
        <v>1962.882096069869</v>
      </c>
      <c r="J179" s="5">
        <f>Sales[[#This Row],[Quantity]]/SUM(Sales[Quantity])</f>
        <v>8.3138043642027194E-4</v>
      </c>
    </row>
    <row r="180" spans="1:10" x14ac:dyDescent="0.25">
      <c r="A180" t="s">
        <v>30</v>
      </c>
      <c r="B180" t="s">
        <v>21</v>
      </c>
      <c r="C180" t="s">
        <v>16</v>
      </c>
      <c r="D180">
        <v>2018</v>
      </c>
      <c r="E180">
        <v>464</v>
      </c>
      <c r="F180">
        <v>910</v>
      </c>
      <c r="G180">
        <v>562</v>
      </c>
      <c r="H180">
        <f>Sales[[#This Row],[Turnover]]-Sales[[#This Row],[Cost]]</f>
        <v>348</v>
      </c>
      <c r="I180" s="3">
        <f>Sales[[#This Row],[Turnover]]*1000/Sales[[#This Row],[Quantity]]</f>
        <v>1961.2068965517242</v>
      </c>
      <c r="J180" s="5">
        <f>Sales[[#This Row],[Quantity]]/SUM(Sales[Quantity])</f>
        <v>8.4227188318560301E-4</v>
      </c>
    </row>
    <row r="181" spans="1:10" x14ac:dyDescent="0.25">
      <c r="A181" t="s">
        <v>30</v>
      </c>
      <c r="B181" t="s">
        <v>21</v>
      </c>
      <c r="C181" t="s">
        <v>1</v>
      </c>
      <c r="D181">
        <v>2018</v>
      </c>
      <c r="E181">
        <v>474</v>
      </c>
      <c r="F181">
        <v>917</v>
      </c>
      <c r="G181">
        <v>575</v>
      </c>
      <c r="H181">
        <f>Sales[[#This Row],[Turnover]]-Sales[[#This Row],[Cost]]</f>
        <v>342</v>
      </c>
      <c r="I181" s="3">
        <f>Sales[[#This Row],[Turnover]]*1000/Sales[[#This Row],[Quantity]]</f>
        <v>1934.5991561181434</v>
      </c>
      <c r="J181" s="5">
        <f>Sales[[#This Row],[Quantity]]/SUM(Sales[Quantity])</f>
        <v>8.6042429446115472E-4</v>
      </c>
    </row>
    <row r="182" spans="1:10" x14ac:dyDescent="0.25">
      <c r="A182" t="s">
        <v>30</v>
      </c>
      <c r="B182" t="s">
        <v>21</v>
      </c>
      <c r="C182" t="s">
        <v>17</v>
      </c>
      <c r="D182">
        <v>2018</v>
      </c>
      <c r="E182">
        <v>448</v>
      </c>
      <c r="F182">
        <v>875</v>
      </c>
      <c r="G182">
        <v>542</v>
      </c>
      <c r="H182">
        <f>Sales[[#This Row],[Turnover]]-Sales[[#This Row],[Cost]]</f>
        <v>333</v>
      </c>
      <c r="I182" s="3">
        <f>Sales[[#This Row],[Turnover]]*1000/Sales[[#This Row],[Quantity]]</f>
        <v>1953.125</v>
      </c>
      <c r="J182" s="5">
        <f>Sales[[#This Row],[Quantity]]/SUM(Sales[Quantity])</f>
        <v>8.1322802514472011E-4</v>
      </c>
    </row>
    <row r="183" spans="1:10" x14ac:dyDescent="0.25">
      <c r="A183" t="s">
        <v>30</v>
      </c>
      <c r="B183" t="s">
        <v>21</v>
      </c>
      <c r="C183" t="s">
        <v>15</v>
      </c>
      <c r="D183">
        <v>2018</v>
      </c>
      <c r="E183">
        <v>418</v>
      </c>
      <c r="F183">
        <v>820</v>
      </c>
      <c r="G183">
        <v>507</v>
      </c>
      <c r="H183">
        <f>Sales[[#This Row],[Turnover]]-Sales[[#This Row],[Cost]]</f>
        <v>313</v>
      </c>
      <c r="I183" s="3">
        <f>Sales[[#This Row],[Turnover]]*1000/Sales[[#This Row],[Quantity]]</f>
        <v>1961.7224880382776</v>
      </c>
      <c r="J183" s="5">
        <f>Sales[[#This Row],[Quantity]]/SUM(Sales[Quantity])</f>
        <v>7.5877079131806476E-4</v>
      </c>
    </row>
    <row r="184" spans="1:10" x14ac:dyDescent="0.25">
      <c r="A184" t="s">
        <v>30</v>
      </c>
      <c r="B184" t="s">
        <v>21</v>
      </c>
      <c r="C184" t="s">
        <v>14</v>
      </c>
      <c r="D184">
        <v>2018</v>
      </c>
      <c r="E184">
        <v>423</v>
      </c>
      <c r="F184">
        <v>831</v>
      </c>
      <c r="G184">
        <v>512</v>
      </c>
      <c r="H184">
        <f>Sales[[#This Row],[Turnover]]-Sales[[#This Row],[Cost]]</f>
        <v>319</v>
      </c>
      <c r="I184" s="3">
        <f>Sales[[#This Row],[Turnover]]*1000/Sales[[#This Row],[Quantity]]</f>
        <v>1964.5390070921985</v>
      </c>
      <c r="J184" s="5">
        <f>Sales[[#This Row],[Quantity]]/SUM(Sales[Quantity])</f>
        <v>7.6784699695584067E-4</v>
      </c>
    </row>
    <row r="185" spans="1:10" x14ac:dyDescent="0.25">
      <c r="A185" t="s">
        <v>30</v>
      </c>
      <c r="B185" t="s">
        <v>21</v>
      </c>
      <c r="C185" t="s">
        <v>2</v>
      </c>
      <c r="D185">
        <v>2018</v>
      </c>
      <c r="E185">
        <v>623</v>
      </c>
      <c r="F185">
        <v>929</v>
      </c>
      <c r="G185">
        <v>755</v>
      </c>
      <c r="H185">
        <f>Sales[[#This Row],[Turnover]]-Sales[[#This Row],[Cost]]</f>
        <v>174</v>
      </c>
      <c r="I185" s="3">
        <f>Sales[[#This Row],[Turnover]]*1000/Sales[[#This Row],[Quantity]]</f>
        <v>1491.1717495987159</v>
      </c>
      <c r="J185" s="5">
        <f>Sales[[#This Row],[Quantity]]/SUM(Sales[Quantity])</f>
        <v>1.1308952224668763E-3</v>
      </c>
    </row>
    <row r="186" spans="1:10" x14ac:dyDescent="0.25">
      <c r="A186" t="s">
        <v>30</v>
      </c>
      <c r="B186" t="s">
        <v>21</v>
      </c>
      <c r="C186" t="s">
        <v>3</v>
      </c>
      <c r="D186">
        <v>2018</v>
      </c>
      <c r="E186">
        <v>625</v>
      </c>
      <c r="F186">
        <v>932</v>
      </c>
      <c r="G186">
        <v>758</v>
      </c>
      <c r="H186">
        <f>Sales[[#This Row],[Turnover]]-Sales[[#This Row],[Cost]]</f>
        <v>174</v>
      </c>
      <c r="I186" s="3">
        <f>Sales[[#This Row],[Turnover]]*1000/Sales[[#This Row],[Quantity]]</f>
        <v>1491.2</v>
      </c>
      <c r="J186" s="5">
        <f>Sales[[#This Row],[Quantity]]/SUM(Sales[Quantity])</f>
        <v>1.1345257047219867E-3</v>
      </c>
    </row>
    <row r="187" spans="1:10" x14ac:dyDescent="0.25">
      <c r="A187" t="s">
        <v>30</v>
      </c>
      <c r="B187" t="s">
        <v>21</v>
      </c>
      <c r="C187" t="s">
        <v>18</v>
      </c>
      <c r="D187">
        <v>2018</v>
      </c>
      <c r="E187">
        <v>534</v>
      </c>
      <c r="F187">
        <v>802</v>
      </c>
      <c r="G187">
        <v>648</v>
      </c>
      <c r="H187">
        <f>Sales[[#This Row],[Turnover]]-Sales[[#This Row],[Cost]]</f>
        <v>154</v>
      </c>
      <c r="I187" s="3">
        <f>Sales[[#This Row],[Turnover]]*1000/Sales[[#This Row],[Quantity]]</f>
        <v>1501.8726591760299</v>
      </c>
      <c r="J187" s="5">
        <f>Sales[[#This Row],[Quantity]]/SUM(Sales[Quantity])</f>
        <v>9.6933876211446543E-4</v>
      </c>
    </row>
    <row r="188" spans="1:10" x14ac:dyDescent="0.25">
      <c r="A188" t="s">
        <v>30</v>
      </c>
      <c r="B188" t="s">
        <v>21</v>
      </c>
      <c r="C188" t="s">
        <v>4</v>
      </c>
      <c r="D188">
        <v>2018</v>
      </c>
      <c r="E188">
        <v>467</v>
      </c>
      <c r="F188">
        <v>698</v>
      </c>
      <c r="G188">
        <v>566</v>
      </c>
      <c r="H188">
        <f>Sales[[#This Row],[Turnover]]-Sales[[#This Row],[Cost]]</f>
        <v>132</v>
      </c>
      <c r="I188" s="3">
        <f>Sales[[#This Row],[Turnover]]*1000/Sales[[#This Row],[Quantity]]</f>
        <v>1494.646680942184</v>
      </c>
      <c r="J188" s="5">
        <f>Sales[[#This Row],[Quantity]]/SUM(Sales[Quantity])</f>
        <v>8.4771760656826849E-4</v>
      </c>
    </row>
    <row r="189" spans="1:10" x14ac:dyDescent="0.25">
      <c r="A189" t="s">
        <v>30</v>
      </c>
      <c r="B189" t="s">
        <v>21</v>
      </c>
      <c r="C189" t="s">
        <v>19</v>
      </c>
      <c r="D189">
        <v>2018</v>
      </c>
      <c r="E189">
        <v>387</v>
      </c>
      <c r="F189">
        <v>585</v>
      </c>
      <c r="G189">
        <v>469</v>
      </c>
      <c r="H189">
        <f>Sales[[#This Row],[Turnover]]-Sales[[#This Row],[Cost]]</f>
        <v>116</v>
      </c>
      <c r="I189" s="3">
        <f>Sales[[#This Row],[Turnover]]*1000/Sales[[#This Row],[Quantity]]</f>
        <v>1511.6279069767443</v>
      </c>
      <c r="J189" s="5">
        <f>Sales[[#This Row],[Quantity]]/SUM(Sales[Quantity])</f>
        <v>7.0249831636385424E-4</v>
      </c>
    </row>
    <row r="190" spans="1:10" x14ac:dyDescent="0.25">
      <c r="A190" t="s">
        <v>26</v>
      </c>
      <c r="B190" t="s">
        <v>21</v>
      </c>
      <c r="C190" t="s">
        <v>2</v>
      </c>
      <c r="D190">
        <v>2018</v>
      </c>
      <c r="E190">
        <v>285</v>
      </c>
      <c r="F190">
        <v>989</v>
      </c>
      <c r="G190">
        <v>346</v>
      </c>
      <c r="H190">
        <f>Sales[[#This Row],[Turnover]]-Sales[[#This Row],[Cost]]</f>
        <v>643</v>
      </c>
      <c r="I190" s="3">
        <f>Sales[[#This Row],[Turnover]]*1000/Sales[[#This Row],[Quantity]]</f>
        <v>3470.1754385964914</v>
      </c>
      <c r="J190" s="5">
        <f>Sales[[#This Row],[Quantity]]/SUM(Sales[Quantity])</f>
        <v>5.1734372135322593E-4</v>
      </c>
    </row>
    <row r="191" spans="1:10" x14ac:dyDescent="0.25">
      <c r="A191" t="s">
        <v>26</v>
      </c>
      <c r="B191" t="s">
        <v>21</v>
      </c>
      <c r="C191" t="s">
        <v>3</v>
      </c>
      <c r="D191">
        <v>2018</v>
      </c>
      <c r="E191">
        <v>284</v>
      </c>
      <c r="F191">
        <v>999</v>
      </c>
      <c r="G191">
        <v>344</v>
      </c>
      <c r="H191">
        <f>Sales[[#This Row],[Turnover]]-Sales[[#This Row],[Cost]]</f>
        <v>655</v>
      </c>
      <c r="I191" s="3">
        <f>Sales[[#This Row],[Turnover]]*1000/Sales[[#This Row],[Quantity]]</f>
        <v>3517.605633802817</v>
      </c>
      <c r="J191" s="5">
        <f>Sales[[#This Row],[Quantity]]/SUM(Sales[Quantity])</f>
        <v>5.1552848022567077E-4</v>
      </c>
    </row>
    <row r="192" spans="1:10" x14ac:dyDescent="0.25">
      <c r="A192" t="s">
        <v>26</v>
      </c>
      <c r="B192" t="s">
        <v>21</v>
      </c>
      <c r="C192" t="s">
        <v>18</v>
      </c>
      <c r="D192">
        <v>2018</v>
      </c>
      <c r="E192">
        <v>262</v>
      </c>
      <c r="F192">
        <v>915</v>
      </c>
      <c r="G192">
        <v>317</v>
      </c>
      <c r="H192">
        <f>Sales[[#This Row],[Turnover]]-Sales[[#This Row],[Cost]]</f>
        <v>598</v>
      </c>
      <c r="I192" s="3">
        <f>Sales[[#This Row],[Turnover]]*1000/Sales[[#This Row],[Quantity]]</f>
        <v>3492.3664122137407</v>
      </c>
      <c r="J192" s="5">
        <f>Sales[[#This Row],[Quantity]]/SUM(Sales[Quantity])</f>
        <v>4.7559317541945686E-4</v>
      </c>
    </row>
    <row r="193" spans="1:10" x14ac:dyDescent="0.25">
      <c r="A193" t="s">
        <v>26</v>
      </c>
      <c r="B193" t="s">
        <v>21</v>
      </c>
      <c r="C193" t="s">
        <v>4</v>
      </c>
      <c r="D193">
        <v>2018</v>
      </c>
      <c r="E193">
        <v>261</v>
      </c>
      <c r="F193">
        <v>918</v>
      </c>
      <c r="G193">
        <v>317</v>
      </c>
      <c r="H193">
        <f>Sales[[#This Row],[Turnover]]-Sales[[#This Row],[Cost]]</f>
        <v>601</v>
      </c>
      <c r="I193" s="3">
        <f>Sales[[#This Row],[Turnover]]*1000/Sales[[#This Row],[Quantity]]</f>
        <v>3517.2413793103447</v>
      </c>
      <c r="J193" s="5">
        <f>Sales[[#This Row],[Quantity]]/SUM(Sales[Quantity])</f>
        <v>4.7377793429190164E-4</v>
      </c>
    </row>
    <row r="194" spans="1:10" x14ac:dyDescent="0.25">
      <c r="A194" t="s">
        <v>26</v>
      </c>
      <c r="B194" t="s">
        <v>21</v>
      </c>
      <c r="C194" t="s">
        <v>19</v>
      </c>
      <c r="D194">
        <v>2018</v>
      </c>
      <c r="E194">
        <v>276</v>
      </c>
      <c r="F194">
        <v>963</v>
      </c>
      <c r="G194">
        <v>335</v>
      </c>
      <c r="H194">
        <f>Sales[[#This Row],[Turnover]]-Sales[[#This Row],[Cost]]</f>
        <v>628</v>
      </c>
      <c r="I194" s="3">
        <f>Sales[[#This Row],[Turnover]]*1000/Sales[[#This Row],[Quantity]]</f>
        <v>3489.1304347826085</v>
      </c>
      <c r="J194" s="5">
        <f>Sales[[#This Row],[Quantity]]/SUM(Sales[Quantity])</f>
        <v>5.0100655120522938E-4</v>
      </c>
    </row>
    <row r="195" spans="1:10" x14ac:dyDescent="0.25">
      <c r="A195" t="s">
        <v>29</v>
      </c>
      <c r="B195" t="s">
        <v>21</v>
      </c>
      <c r="C195" t="s">
        <v>2</v>
      </c>
      <c r="D195">
        <v>2018</v>
      </c>
      <c r="E195">
        <v>154</v>
      </c>
      <c r="F195">
        <v>626</v>
      </c>
      <c r="G195">
        <v>221</v>
      </c>
      <c r="H195">
        <f>Sales[[#This Row],[Turnover]]-Sales[[#This Row],[Cost]]</f>
        <v>405</v>
      </c>
      <c r="I195" s="3">
        <f>Sales[[#This Row],[Turnover]]*1000/Sales[[#This Row],[Quantity]]</f>
        <v>4064.9350649350649</v>
      </c>
      <c r="J195" s="5">
        <f>Sales[[#This Row],[Quantity]]/SUM(Sales[Quantity])</f>
        <v>2.7954713364349753E-4</v>
      </c>
    </row>
    <row r="196" spans="1:10" x14ac:dyDescent="0.25">
      <c r="A196" t="s">
        <v>29</v>
      </c>
      <c r="B196" t="s">
        <v>21</v>
      </c>
      <c r="C196" t="s">
        <v>3</v>
      </c>
      <c r="D196">
        <v>2018</v>
      </c>
      <c r="E196">
        <v>179</v>
      </c>
      <c r="F196">
        <v>736</v>
      </c>
      <c r="G196">
        <v>256</v>
      </c>
      <c r="H196">
        <f>Sales[[#This Row],[Turnover]]-Sales[[#This Row],[Cost]]</f>
        <v>480</v>
      </c>
      <c r="I196" s="3">
        <f>Sales[[#This Row],[Turnover]]*1000/Sales[[#This Row],[Quantity]]</f>
        <v>4111.7318435754187</v>
      </c>
      <c r="J196" s="5">
        <f>Sales[[#This Row],[Quantity]]/SUM(Sales[Quantity])</f>
        <v>3.2492816183237702E-4</v>
      </c>
    </row>
    <row r="197" spans="1:10" x14ac:dyDescent="0.25">
      <c r="A197" t="s">
        <v>29</v>
      </c>
      <c r="B197" t="s">
        <v>21</v>
      </c>
      <c r="C197" t="s">
        <v>18</v>
      </c>
      <c r="D197">
        <v>2018</v>
      </c>
      <c r="E197">
        <v>192</v>
      </c>
      <c r="F197">
        <v>781</v>
      </c>
      <c r="G197">
        <v>274</v>
      </c>
      <c r="H197">
        <f>Sales[[#This Row],[Turnover]]-Sales[[#This Row],[Cost]]</f>
        <v>507</v>
      </c>
      <c r="I197" s="3">
        <f>Sales[[#This Row],[Turnover]]*1000/Sales[[#This Row],[Quantity]]</f>
        <v>4067.7083333333335</v>
      </c>
      <c r="J197" s="5">
        <f>Sales[[#This Row],[Quantity]]/SUM(Sales[Quantity])</f>
        <v>3.4852629649059433E-4</v>
      </c>
    </row>
    <row r="198" spans="1:10" x14ac:dyDescent="0.25">
      <c r="A198" t="s">
        <v>29</v>
      </c>
      <c r="B198" t="s">
        <v>21</v>
      </c>
      <c r="C198" t="s">
        <v>4</v>
      </c>
      <c r="D198">
        <v>2018</v>
      </c>
      <c r="E198">
        <v>149</v>
      </c>
      <c r="F198">
        <v>608</v>
      </c>
      <c r="G198">
        <v>213</v>
      </c>
      <c r="H198">
        <f>Sales[[#This Row],[Turnover]]-Sales[[#This Row],[Cost]]</f>
        <v>395</v>
      </c>
      <c r="I198" s="3">
        <f>Sales[[#This Row],[Turnover]]*1000/Sales[[#This Row],[Quantity]]</f>
        <v>4080.5369127516778</v>
      </c>
      <c r="J198" s="5">
        <f>Sales[[#This Row],[Quantity]]/SUM(Sales[Quantity])</f>
        <v>2.7047092800572162E-4</v>
      </c>
    </row>
    <row r="199" spans="1:10" x14ac:dyDescent="0.25">
      <c r="A199" t="s">
        <v>29</v>
      </c>
      <c r="B199" t="s">
        <v>21</v>
      </c>
      <c r="C199" t="s">
        <v>19</v>
      </c>
      <c r="D199">
        <v>2018</v>
      </c>
      <c r="E199">
        <v>163</v>
      </c>
      <c r="F199">
        <v>661</v>
      </c>
      <c r="G199">
        <v>233</v>
      </c>
      <c r="H199">
        <f>Sales[[#This Row],[Turnover]]-Sales[[#This Row],[Cost]]</f>
        <v>428</v>
      </c>
      <c r="I199" s="3">
        <f>Sales[[#This Row],[Turnover]]*1000/Sales[[#This Row],[Quantity]]</f>
        <v>4055.2147239263804</v>
      </c>
      <c r="J199" s="5">
        <f>Sales[[#This Row],[Quantity]]/SUM(Sales[Quantity])</f>
        <v>2.9588430379149413E-4</v>
      </c>
    </row>
    <row r="200" spans="1:10" x14ac:dyDescent="0.25">
      <c r="A200" t="s">
        <v>27</v>
      </c>
      <c r="B200" t="s">
        <v>21</v>
      </c>
      <c r="C200" t="s">
        <v>12</v>
      </c>
      <c r="D200">
        <v>2019</v>
      </c>
      <c r="E200">
        <v>622</v>
      </c>
      <c r="F200">
        <v>434</v>
      </c>
      <c r="G200">
        <v>362</v>
      </c>
      <c r="H200">
        <f>Sales[[#This Row],[Turnover]]-Sales[[#This Row],[Cost]]</f>
        <v>72</v>
      </c>
      <c r="I200" s="3">
        <f>Sales[[#This Row],[Turnover]]*1000/Sales[[#This Row],[Quantity]]</f>
        <v>697.74919614147905</v>
      </c>
      <c r="J200" s="5">
        <f>Sales[[#This Row],[Quantity]]/SUM(Sales[Quantity])</f>
        <v>1.1290799813393213E-3</v>
      </c>
    </row>
    <row r="201" spans="1:10" x14ac:dyDescent="0.25">
      <c r="A201" t="s">
        <v>27</v>
      </c>
      <c r="B201" t="s">
        <v>21</v>
      </c>
      <c r="C201" t="s">
        <v>13</v>
      </c>
      <c r="D201">
        <v>2019</v>
      </c>
      <c r="E201">
        <v>640</v>
      </c>
      <c r="F201">
        <v>444</v>
      </c>
      <c r="G201">
        <v>373</v>
      </c>
      <c r="H201">
        <f>Sales[[#This Row],[Turnover]]-Sales[[#This Row],[Cost]]</f>
        <v>71</v>
      </c>
      <c r="I201" s="3">
        <f>Sales[[#This Row],[Turnover]]*1000/Sales[[#This Row],[Quantity]]</f>
        <v>693.75</v>
      </c>
      <c r="J201" s="5">
        <f>Sales[[#This Row],[Quantity]]/SUM(Sales[Quantity])</f>
        <v>1.1617543216353144E-3</v>
      </c>
    </row>
    <row r="202" spans="1:10" x14ac:dyDescent="0.25">
      <c r="A202" t="s">
        <v>27</v>
      </c>
      <c r="B202" t="s">
        <v>21</v>
      </c>
      <c r="C202" t="s">
        <v>16</v>
      </c>
      <c r="D202">
        <v>2019</v>
      </c>
      <c r="E202">
        <v>599</v>
      </c>
      <c r="F202">
        <v>418</v>
      </c>
      <c r="G202">
        <v>348</v>
      </c>
      <c r="H202">
        <f>Sales[[#This Row],[Turnover]]-Sales[[#This Row],[Cost]]</f>
        <v>70</v>
      </c>
      <c r="I202" s="3">
        <f>Sales[[#This Row],[Turnover]]*1000/Sales[[#This Row],[Quantity]]</f>
        <v>697.82971619365605</v>
      </c>
      <c r="J202" s="5">
        <f>Sales[[#This Row],[Quantity]]/SUM(Sales[Quantity])</f>
        <v>1.0873294354055521E-3</v>
      </c>
    </row>
    <row r="203" spans="1:10" x14ac:dyDescent="0.25">
      <c r="A203" t="s">
        <v>27</v>
      </c>
      <c r="B203" t="s">
        <v>21</v>
      </c>
      <c r="C203" t="s">
        <v>1</v>
      </c>
      <c r="D203">
        <v>2019</v>
      </c>
      <c r="E203">
        <v>551</v>
      </c>
      <c r="F203">
        <v>388</v>
      </c>
      <c r="G203">
        <v>321</v>
      </c>
      <c r="H203">
        <f>Sales[[#This Row],[Turnover]]-Sales[[#This Row],[Cost]]</f>
        <v>67</v>
      </c>
      <c r="I203" s="3">
        <f>Sales[[#This Row],[Turnover]]*1000/Sales[[#This Row],[Quantity]]</f>
        <v>704.17422867513608</v>
      </c>
      <c r="J203" s="5">
        <f>Sales[[#This Row],[Quantity]]/SUM(Sales[Quantity])</f>
        <v>1.0001978612829035E-3</v>
      </c>
    </row>
    <row r="204" spans="1:10" x14ac:dyDescent="0.25">
      <c r="A204" t="s">
        <v>27</v>
      </c>
      <c r="B204" t="s">
        <v>21</v>
      </c>
      <c r="C204" t="s">
        <v>17</v>
      </c>
      <c r="D204">
        <v>2019</v>
      </c>
      <c r="E204">
        <v>427</v>
      </c>
      <c r="F204">
        <v>297</v>
      </c>
      <c r="G204">
        <v>248</v>
      </c>
      <c r="H204">
        <f>Sales[[#This Row],[Turnover]]-Sales[[#This Row],[Cost]]</f>
        <v>49</v>
      </c>
      <c r="I204" s="3">
        <f>Sales[[#This Row],[Turnover]]*1000/Sales[[#This Row],[Quantity]]</f>
        <v>695.55035128805616</v>
      </c>
      <c r="J204" s="5">
        <f>Sales[[#This Row],[Quantity]]/SUM(Sales[Quantity])</f>
        <v>7.7510796146606131E-4</v>
      </c>
    </row>
    <row r="205" spans="1:10" x14ac:dyDescent="0.25">
      <c r="A205" t="s">
        <v>27</v>
      </c>
      <c r="B205" t="s">
        <v>21</v>
      </c>
      <c r="C205" t="s">
        <v>15</v>
      </c>
      <c r="D205">
        <v>2019</v>
      </c>
      <c r="E205">
        <v>593</v>
      </c>
      <c r="F205">
        <v>356</v>
      </c>
      <c r="G205">
        <v>345</v>
      </c>
      <c r="H205">
        <f>Sales[[#This Row],[Turnover]]-Sales[[#This Row],[Cost]]</f>
        <v>11</v>
      </c>
      <c r="I205" s="3">
        <f>Sales[[#This Row],[Turnover]]*1000/Sales[[#This Row],[Quantity]]</f>
        <v>600.3372681281619</v>
      </c>
      <c r="J205" s="5">
        <f>Sales[[#This Row],[Quantity]]/SUM(Sales[Quantity])</f>
        <v>1.0764379886402211E-3</v>
      </c>
    </row>
    <row r="206" spans="1:10" x14ac:dyDescent="0.25">
      <c r="A206" t="s">
        <v>27</v>
      </c>
      <c r="B206" t="s">
        <v>21</v>
      </c>
      <c r="C206" t="s">
        <v>14</v>
      </c>
      <c r="D206">
        <v>2019</v>
      </c>
      <c r="E206">
        <v>572</v>
      </c>
      <c r="F206">
        <v>341</v>
      </c>
      <c r="G206">
        <v>333</v>
      </c>
      <c r="H206">
        <f>Sales[[#This Row],[Turnover]]-Sales[[#This Row],[Cost]]</f>
        <v>8</v>
      </c>
      <c r="I206" s="3">
        <f>Sales[[#This Row],[Turnover]]*1000/Sales[[#This Row],[Quantity]]</f>
        <v>596.15384615384619</v>
      </c>
      <c r="J206" s="5">
        <f>Sales[[#This Row],[Quantity]]/SUM(Sales[Quantity])</f>
        <v>1.0383179249615622E-3</v>
      </c>
    </row>
    <row r="207" spans="1:10" x14ac:dyDescent="0.25">
      <c r="A207" t="s">
        <v>27</v>
      </c>
      <c r="B207" t="s">
        <v>21</v>
      </c>
      <c r="C207" t="s">
        <v>2</v>
      </c>
      <c r="D207">
        <v>2019</v>
      </c>
      <c r="E207">
        <v>442</v>
      </c>
      <c r="F207">
        <v>266</v>
      </c>
      <c r="G207">
        <v>257</v>
      </c>
      <c r="H207">
        <f>Sales[[#This Row],[Turnover]]-Sales[[#This Row],[Cost]]</f>
        <v>9</v>
      </c>
      <c r="I207" s="3">
        <f>Sales[[#This Row],[Turnover]]*1000/Sales[[#This Row],[Quantity]]</f>
        <v>601.80995475113127</v>
      </c>
      <c r="J207" s="5">
        <f>Sales[[#This Row],[Quantity]]/SUM(Sales[Quantity])</f>
        <v>8.0233657837938904E-4</v>
      </c>
    </row>
    <row r="208" spans="1:10" x14ac:dyDescent="0.25">
      <c r="A208" t="s">
        <v>27</v>
      </c>
      <c r="B208" t="s">
        <v>21</v>
      </c>
      <c r="C208" t="s">
        <v>3</v>
      </c>
      <c r="D208">
        <v>2019</v>
      </c>
      <c r="E208">
        <v>401</v>
      </c>
      <c r="F208">
        <v>242</v>
      </c>
      <c r="G208">
        <v>233</v>
      </c>
      <c r="H208">
        <f>Sales[[#This Row],[Turnover]]-Sales[[#This Row],[Cost]]</f>
        <v>9</v>
      </c>
      <c r="I208" s="3">
        <f>Sales[[#This Row],[Turnover]]*1000/Sales[[#This Row],[Quantity]]</f>
        <v>603.4912718204489</v>
      </c>
      <c r="J208" s="5">
        <f>Sales[[#This Row],[Quantity]]/SUM(Sales[Quantity])</f>
        <v>7.2791169214962671E-4</v>
      </c>
    </row>
    <row r="209" spans="1:10" x14ac:dyDescent="0.25">
      <c r="A209" t="s">
        <v>27</v>
      </c>
      <c r="B209" t="s">
        <v>21</v>
      </c>
      <c r="C209" t="s">
        <v>18</v>
      </c>
      <c r="D209">
        <v>2019</v>
      </c>
      <c r="E209">
        <v>552</v>
      </c>
      <c r="F209">
        <v>328</v>
      </c>
      <c r="G209">
        <v>321</v>
      </c>
      <c r="H209">
        <f>Sales[[#This Row],[Turnover]]-Sales[[#This Row],[Cost]]</f>
        <v>7</v>
      </c>
      <c r="I209" s="3">
        <f>Sales[[#This Row],[Turnover]]*1000/Sales[[#This Row],[Quantity]]</f>
        <v>594.20289855072463</v>
      </c>
      <c r="J209" s="5">
        <f>Sales[[#This Row],[Quantity]]/SUM(Sales[Quantity])</f>
        <v>1.0020131024104588E-3</v>
      </c>
    </row>
    <row r="210" spans="1:10" x14ac:dyDescent="0.25">
      <c r="A210" t="s">
        <v>27</v>
      </c>
      <c r="B210" t="s">
        <v>21</v>
      </c>
      <c r="C210" t="s">
        <v>4</v>
      </c>
      <c r="D210">
        <v>2019</v>
      </c>
      <c r="E210">
        <v>390</v>
      </c>
      <c r="F210">
        <v>236</v>
      </c>
      <c r="G210">
        <v>227</v>
      </c>
      <c r="H210">
        <f>Sales[[#This Row],[Turnover]]-Sales[[#This Row],[Cost]]</f>
        <v>9</v>
      </c>
      <c r="I210" s="3">
        <f>Sales[[#This Row],[Turnover]]*1000/Sales[[#This Row],[Quantity]]</f>
        <v>605.12820512820508</v>
      </c>
      <c r="J210" s="5">
        <f>Sales[[#This Row],[Quantity]]/SUM(Sales[Quantity])</f>
        <v>7.0794403974651973E-4</v>
      </c>
    </row>
    <row r="211" spans="1:10" x14ac:dyDescent="0.25">
      <c r="A211" t="s">
        <v>27</v>
      </c>
      <c r="B211" t="s">
        <v>21</v>
      </c>
      <c r="C211" t="s">
        <v>19</v>
      </c>
      <c r="D211">
        <v>2019</v>
      </c>
      <c r="E211">
        <v>443</v>
      </c>
      <c r="F211">
        <v>263</v>
      </c>
      <c r="G211">
        <v>258</v>
      </c>
      <c r="H211">
        <f>Sales[[#This Row],[Turnover]]-Sales[[#This Row],[Cost]]</f>
        <v>5</v>
      </c>
      <c r="I211" s="3">
        <f>Sales[[#This Row],[Turnover]]*1000/Sales[[#This Row],[Quantity]]</f>
        <v>593.67945823927766</v>
      </c>
      <c r="J211" s="5">
        <f>Sales[[#This Row],[Quantity]]/SUM(Sales[Quantity])</f>
        <v>8.041518195069442E-4</v>
      </c>
    </row>
    <row r="212" spans="1:10" x14ac:dyDescent="0.25">
      <c r="A212" t="s">
        <v>28</v>
      </c>
      <c r="B212" t="s">
        <v>21</v>
      </c>
      <c r="C212" t="s">
        <v>12</v>
      </c>
      <c r="D212">
        <v>2019</v>
      </c>
      <c r="E212">
        <v>450</v>
      </c>
      <c r="F212">
        <v>361</v>
      </c>
      <c r="G212">
        <v>271</v>
      </c>
      <c r="H212">
        <f>Sales[[#This Row],[Turnover]]-Sales[[#This Row],[Cost]]</f>
        <v>90</v>
      </c>
      <c r="I212" s="3">
        <f>Sales[[#This Row],[Turnover]]*1000/Sales[[#This Row],[Quantity]]</f>
        <v>802.22222222222217</v>
      </c>
      <c r="J212" s="5">
        <f>Sales[[#This Row],[Quantity]]/SUM(Sales[Quantity])</f>
        <v>8.1685850739983044E-4</v>
      </c>
    </row>
    <row r="213" spans="1:10" x14ac:dyDescent="0.25">
      <c r="A213" t="s">
        <v>28</v>
      </c>
      <c r="B213" t="s">
        <v>21</v>
      </c>
      <c r="C213" t="s">
        <v>13</v>
      </c>
      <c r="D213">
        <v>2019</v>
      </c>
      <c r="E213">
        <v>405</v>
      </c>
      <c r="F213">
        <v>321</v>
      </c>
      <c r="G213">
        <v>244</v>
      </c>
      <c r="H213">
        <f>Sales[[#This Row],[Turnover]]-Sales[[#This Row],[Cost]]</f>
        <v>77</v>
      </c>
      <c r="I213" s="3">
        <f>Sales[[#This Row],[Turnover]]*1000/Sales[[#This Row],[Quantity]]</f>
        <v>792.59259259259261</v>
      </c>
      <c r="J213" s="5">
        <f>Sales[[#This Row],[Quantity]]/SUM(Sales[Quantity])</f>
        <v>7.3517265665984746E-4</v>
      </c>
    </row>
    <row r="214" spans="1:10" x14ac:dyDescent="0.25">
      <c r="A214" t="s">
        <v>28</v>
      </c>
      <c r="B214" t="s">
        <v>21</v>
      </c>
      <c r="C214" t="s">
        <v>16</v>
      </c>
      <c r="D214">
        <v>2019</v>
      </c>
      <c r="E214">
        <v>343</v>
      </c>
      <c r="F214">
        <v>274</v>
      </c>
      <c r="G214">
        <v>207</v>
      </c>
      <c r="H214">
        <f>Sales[[#This Row],[Turnover]]-Sales[[#This Row],[Cost]]</f>
        <v>67</v>
      </c>
      <c r="I214" s="3">
        <f>Sales[[#This Row],[Turnover]]*1000/Sales[[#This Row],[Quantity]]</f>
        <v>798.8338192419825</v>
      </c>
      <c r="J214" s="5">
        <f>Sales[[#This Row],[Quantity]]/SUM(Sales[Quantity])</f>
        <v>6.2262770675142632E-4</v>
      </c>
    </row>
    <row r="215" spans="1:10" x14ac:dyDescent="0.25">
      <c r="A215" t="s">
        <v>28</v>
      </c>
      <c r="B215" t="s">
        <v>21</v>
      </c>
      <c r="C215" t="s">
        <v>1</v>
      </c>
      <c r="D215">
        <v>2019</v>
      </c>
      <c r="E215">
        <v>384</v>
      </c>
      <c r="F215">
        <v>304</v>
      </c>
      <c r="G215">
        <v>231</v>
      </c>
      <c r="H215">
        <f>Sales[[#This Row],[Turnover]]-Sales[[#This Row],[Cost]]</f>
        <v>73</v>
      </c>
      <c r="I215" s="3">
        <f>Sales[[#This Row],[Turnover]]*1000/Sales[[#This Row],[Quantity]]</f>
        <v>791.66666666666663</v>
      </c>
      <c r="J215" s="5">
        <f>Sales[[#This Row],[Quantity]]/SUM(Sales[Quantity])</f>
        <v>6.9705259298118865E-4</v>
      </c>
    </row>
    <row r="216" spans="1:10" x14ac:dyDescent="0.25">
      <c r="A216" t="s">
        <v>28</v>
      </c>
      <c r="B216" t="s">
        <v>21</v>
      </c>
      <c r="C216" t="s">
        <v>17</v>
      </c>
      <c r="D216">
        <v>2019</v>
      </c>
      <c r="E216">
        <v>374</v>
      </c>
      <c r="F216">
        <v>297</v>
      </c>
      <c r="G216">
        <v>225</v>
      </c>
      <c r="H216">
        <f>Sales[[#This Row],[Turnover]]-Sales[[#This Row],[Cost]]</f>
        <v>72</v>
      </c>
      <c r="I216" s="3">
        <f>Sales[[#This Row],[Turnover]]*1000/Sales[[#This Row],[Quantity]]</f>
        <v>794.11764705882354</v>
      </c>
      <c r="J216" s="5">
        <f>Sales[[#This Row],[Quantity]]/SUM(Sales[Quantity])</f>
        <v>6.7890018170563683E-4</v>
      </c>
    </row>
    <row r="217" spans="1:10" x14ac:dyDescent="0.25">
      <c r="A217" t="s">
        <v>28</v>
      </c>
      <c r="B217" t="s">
        <v>21</v>
      </c>
      <c r="C217" t="s">
        <v>15</v>
      </c>
      <c r="D217">
        <v>2019</v>
      </c>
      <c r="E217">
        <v>416</v>
      </c>
      <c r="F217">
        <v>290</v>
      </c>
      <c r="G217">
        <v>250</v>
      </c>
      <c r="H217">
        <f>Sales[[#This Row],[Turnover]]-Sales[[#This Row],[Cost]]</f>
        <v>40</v>
      </c>
      <c r="I217" s="3">
        <f>Sales[[#This Row],[Turnover]]*1000/Sales[[#This Row],[Quantity]]</f>
        <v>697.11538461538464</v>
      </c>
      <c r="J217" s="5">
        <f>Sales[[#This Row],[Quantity]]/SUM(Sales[Quantity])</f>
        <v>7.5514030906295433E-4</v>
      </c>
    </row>
    <row r="218" spans="1:10" x14ac:dyDescent="0.25">
      <c r="A218" t="s">
        <v>28</v>
      </c>
      <c r="B218" t="s">
        <v>21</v>
      </c>
      <c r="C218" t="s">
        <v>14</v>
      </c>
      <c r="D218">
        <v>2019</v>
      </c>
      <c r="E218">
        <v>443</v>
      </c>
      <c r="F218">
        <v>308</v>
      </c>
      <c r="G218">
        <v>267</v>
      </c>
      <c r="H218">
        <f>Sales[[#This Row],[Turnover]]-Sales[[#This Row],[Cost]]</f>
        <v>41</v>
      </c>
      <c r="I218" s="3">
        <f>Sales[[#This Row],[Turnover]]*1000/Sales[[#This Row],[Quantity]]</f>
        <v>695.25959367945825</v>
      </c>
      <c r="J218" s="5">
        <f>Sales[[#This Row],[Quantity]]/SUM(Sales[Quantity])</f>
        <v>8.041518195069442E-4</v>
      </c>
    </row>
    <row r="219" spans="1:10" x14ac:dyDescent="0.25">
      <c r="A219" t="s">
        <v>28</v>
      </c>
      <c r="B219" t="s">
        <v>21</v>
      </c>
      <c r="C219" t="s">
        <v>2</v>
      </c>
      <c r="D219">
        <v>2019</v>
      </c>
      <c r="E219">
        <v>437</v>
      </c>
      <c r="F219">
        <v>304</v>
      </c>
      <c r="G219">
        <v>263</v>
      </c>
      <c r="H219">
        <f>Sales[[#This Row],[Turnover]]-Sales[[#This Row],[Cost]]</f>
        <v>41</v>
      </c>
      <c r="I219" s="3">
        <f>Sales[[#This Row],[Turnover]]*1000/Sales[[#This Row],[Quantity]]</f>
        <v>695.6521739130435</v>
      </c>
      <c r="J219" s="5">
        <f>Sales[[#This Row],[Quantity]]/SUM(Sales[Quantity])</f>
        <v>7.9326037274161313E-4</v>
      </c>
    </row>
    <row r="220" spans="1:10" x14ac:dyDescent="0.25">
      <c r="A220" t="s">
        <v>28</v>
      </c>
      <c r="B220" t="s">
        <v>21</v>
      </c>
      <c r="C220" t="s">
        <v>3</v>
      </c>
      <c r="D220">
        <v>2019</v>
      </c>
      <c r="E220">
        <v>414</v>
      </c>
      <c r="F220">
        <v>288</v>
      </c>
      <c r="G220">
        <v>249</v>
      </c>
      <c r="H220">
        <f>Sales[[#This Row],[Turnover]]-Sales[[#This Row],[Cost]]</f>
        <v>39</v>
      </c>
      <c r="I220" s="3">
        <f>Sales[[#This Row],[Turnover]]*1000/Sales[[#This Row],[Quantity]]</f>
        <v>695.6521739130435</v>
      </c>
      <c r="J220" s="5">
        <f>Sales[[#This Row],[Quantity]]/SUM(Sales[Quantity])</f>
        <v>7.5150982680784401E-4</v>
      </c>
    </row>
    <row r="221" spans="1:10" x14ac:dyDescent="0.25">
      <c r="A221" t="s">
        <v>28</v>
      </c>
      <c r="B221" t="s">
        <v>21</v>
      </c>
      <c r="C221" t="s">
        <v>18</v>
      </c>
      <c r="D221">
        <v>2019</v>
      </c>
      <c r="E221">
        <v>392</v>
      </c>
      <c r="F221">
        <v>274</v>
      </c>
      <c r="G221">
        <v>236</v>
      </c>
      <c r="H221">
        <f>Sales[[#This Row],[Turnover]]-Sales[[#This Row],[Cost]]</f>
        <v>38</v>
      </c>
      <c r="I221" s="3">
        <f>Sales[[#This Row],[Turnover]]*1000/Sales[[#This Row],[Quantity]]</f>
        <v>698.9795918367347</v>
      </c>
      <c r="J221" s="5">
        <f>Sales[[#This Row],[Quantity]]/SUM(Sales[Quantity])</f>
        <v>7.1157452200163005E-4</v>
      </c>
    </row>
    <row r="222" spans="1:10" x14ac:dyDescent="0.25">
      <c r="A222" t="s">
        <v>28</v>
      </c>
      <c r="B222" t="s">
        <v>21</v>
      </c>
      <c r="C222" t="s">
        <v>4</v>
      </c>
      <c r="D222">
        <v>2019</v>
      </c>
      <c r="E222">
        <v>393</v>
      </c>
      <c r="F222">
        <v>276</v>
      </c>
      <c r="G222">
        <v>237</v>
      </c>
      <c r="H222">
        <f>Sales[[#This Row],[Turnover]]-Sales[[#This Row],[Cost]]</f>
        <v>39</v>
      </c>
      <c r="I222" s="3">
        <f>Sales[[#This Row],[Turnover]]*1000/Sales[[#This Row],[Quantity]]</f>
        <v>702.29007633587787</v>
      </c>
      <c r="J222" s="5">
        <f>Sales[[#This Row],[Quantity]]/SUM(Sales[Quantity])</f>
        <v>7.1338976312918531E-4</v>
      </c>
    </row>
    <row r="223" spans="1:10" x14ac:dyDescent="0.25">
      <c r="A223" t="s">
        <v>28</v>
      </c>
      <c r="B223" t="s">
        <v>21</v>
      </c>
      <c r="C223" t="s">
        <v>19</v>
      </c>
      <c r="D223">
        <v>2019</v>
      </c>
      <c r="E223">
        <v>357</v>
      </c>
      <c r="F223">
        <v>252</v>
      </c>
      <c r="G223">
        <v>215</v>
      </c>
      <c r="H223">
        <f>Sales[[#This Row],[Turnover]]-Sales[[#This Row],[Cost]]</f>
        <v>37</v>
      </c>
      <c r="I223" s="3">
        <f>Sales[[#This Row],[Turnover]]*1000/Sales[[#This Row],[Quantity]]</f>
        <v>705.88235294117646</v>
      </c>
      <c r="J223" s="5">
        <f>Sales[[#This Row],[Quantity]]/SUM(Sales[Quantity])</f>
        <v>6.4804108253719878E-4</v>
      </c>
    </row>
    <row r="224" spans="1:10" x14ac:dyDescent="0.25">
      <c r="A224" t="s">
        <v>30</v>
      </c>
      <c r="B224" t="s">
        <v>21</v>
      </c>
      <c r="C224" t="s">
        <v>12</v>
      </c>
      <c r="D224">
        <v>2019</v>
      </c>
      <c r="E224">
        <v>356</v>
      </c>
      <c r="F224">
        <v>534</v>
      </c>
      <c r="G224">
        <v>432</v>
      </c>
      <c r="H224">
        <f>Sales[[#This Row],[Turnover]]-Sales[[#This Row],[Cost]]</f>
        <v>102</v>
      </c>
      <c r="I224" s="3">
        <f>Sales[[#This Row],[Turnover]]*1000/Sales[[#This Row],[Quantity]]</f>
        <v>1500</v>
      </c>
      <c r="J224" s="5">
        <f>Sales[[#This Row],[Quantity]]/SUM(Sales[Quantity])</f>
        <v>6.4622584140964362E-4</v>
      </c>
    </row>
    <row r="225" spans="1:10" x14ac:dyDescent="0.25">
      <c r="A225" t="s">
        <v>30</v>
      </c>
      <c r="B225" t="s">
        <v>21</v>
      </c>
      <c r="C225" t="s">
        <v>13</v>
      </c>
      <c r="D225">
        <v>2019</v>
      </c>
      <c r="E225">
        <v>295</v>
      </c>
      <c r="F225">
        <v>444</v>
      </c>
      <c r="G225">
        <v>357</v>
      </c>
      <c r="H225">
        <f>Sales[[#This Row],[Turnover]]-Sales[[#This Row],[Cost]]</f>
        <v>87</v>
      </c>
      <c r="I225" s="3">
        <f>Sales[[#This Row],[Turnover]]*1000/Sales[[#This Row],[Quantity]]</f>
        <v>1505.0847457627119</v>
      </c>
      <c r="J225" s="5">
        <f>Sales[[#This Row],[Quantity]]/SUM(Sales[Quantity])</f>
        <v>5.3549613262877775E-4</v>
      </c>
    </row>
    <row r="226" spans="1:10" x14ac:dyDescent="0.25">
      <c r="A226" t="s">
        <v>30</v>
      </c>
      <c r="B226" t="s">
        <v>21</v>
      </c>
      <c r="C226" t="s">
        <v>16</v>
      </c>
      <c r="D226">
        <v>2019</v>
      </c>
      <c r="E226">
        <v>271</v>
      </c>
      <c r="F226">
        <v>406</v>
      </c>
      <c r="G226">
        <v>328</v>
      </c>
      <c r="H226">
        <f>Sales[[#This Row],[Turnover]]-Sales[[#This Row],[Cost]]</f>
        <v>78</v>
      </c>
      <c r="I226" s="3">
        <f>Sales[[#This Row],[Turnover]]*1000/Sales[[#This Row],[Quantity]]</f>
        <v>1498.1549815498156</v>
      </c>
      <c r="J226" s="5">
        <f>Sales[[#This Row],[Quantity]]/SUM(Sales[Quantity])</f>
        <v>4.9193034556745347E-4</v>
      </c>
    </row>
    <row r="227" spans="1:10" x14ac:dyDescent="0.25">
      <c r="A227" t="s">
        <v>30</v>
      </c>
      <c r="B227" t="s">
        <v>21</v>
      </c>
      <c r="C227" t="s">
        <v>1</v>
      </c>
      <c r="D227">
        <v>2019</v>
      </c>
      <c r="E227">
        <v>254</v>
      </c>
      <c r="F227">
        <v>384</v>
      </c>
      <c r="G227">
        <v>307</v>
      </c>
      <c r="H227">
        <f>Sales[[#This Row],[Turnover]]-Sales[[#This Row],[Cost]]</f>
        <v>77</v>
      </c>
      <c r="I227" s="3">
        <f>Sales[[#This Row],[Turnover]]*1000/Sales[[#This Row],[Quantity]]</f>
        <v>1511.8110236220473</v>
      </c>
      <c r="J227" s="5">
        <f>Sales[[#This Row],[Quantity]]/SUM(Sales[Quantity])</f>
        <v>4.6107124639901541E-4</v>
      </c>
    </row>
    <row r="228" spans="1:10" x14ac:dyDescent="0.25">
      <c r="A228" t="s">
        <v>30</v>
      </c>
      <c r="B228" t="s">
        <v>21</v>
      </c>
      <c r="C228" t="s">
        <v>17</v>
      </c>
      <c r="D228">
        <v>2019</v>
      </c>
      <c r="E228">
        <v>267</v>
      </c>
      <c r="F228">
        <v>405</v>
      </c>
      <c r="G228">
        <v>324</v>
      </c>
      <c r="H228">
        <f>Sales[[#This Row],[Turnover]]-Sales[[#This Row],[Cost]]</f>
        <v>81</v>
      </c>
      <c r="I228" s="3">
        <f>Sales[[#This Row],[Turnover]]*1000/Sales[[#This Row],[Quantity]]</f>
        <v>1516.8539325842696</v>
      </c>
      <c r="J228" s="5">
        <f>Sales[[#This Row],[Quantity]]/SUM(Sales[Quantity])</f>
        <v>4.8466938105723271E-4</v>
      </c>
    </row>
    <row r="229" spans="1:10" x14ac:dyDescent="0.25">
      <c r="A229" t="s">
        <v>30</v>
      </c>
      <c r="B229" t="s">
        <v>21</v>
      </c>
      <c r="C229" t="s">
        <v>15</v>
      </c>
      <c r="D229">
        <v>2019</v>
      </c>
      <c r="E229">
        <v>259</v>
      </c>
      <c r="F229">
        <v>387</v>
      </c>
      <c r="G229">
        <v>313</v>
      </c>
      <c r="H229">
        <f>Sales[[#This Row],[Turnover]]-Sales[[#This Row],[Cost]]</f>
        <v>74</v>
      </c>
      <c r="I229" s="3">
        <f>Sales[[#This Row],[Turnover]]*1000/Sales[[#This Row],[Quantity]]</f>
        <v>1494.2084942084941</v>
      </c>
      <c r="J229" s="5">
        <f>Sales[[#This Row],[Quantity]]/SUM(Sales[Quantity])</f>
        <v>4.7014745203679132E-4</v>
      </c>
    </row>
    <row r="230" spans="1:10" x14ac:dyDescent="0.25">
      <c r="A230" t="s">
        <v>30</v>
      </c>
      <c r="B230" t="s">
        <v>21</v>
      </c>
      <c r="C230" t="s">
        <v>14</v>
      </c>
      <c r="D230">
        <v>2019</v>
      </c>
      <c r="E230">
        <v>233</v>
      </c>
      <c r="F230">
        <v>350</v>
      </c>
      <c r="G230">
        <v>283</v>
      </c>
      <c r="H230">
        <f>Sales[[#This Row],[Turnover]]-Sales[[#This Row],[Cost]]</f>
        <v>67</v>
      </c>
      <c r="I230" s="3">
        <f>Sales[[#This Row],[Turnover]]*1000/Sales[[#This Row],[Quantity]]</f>
        <v>1502.145922746781</v>
      </c>
      <c r="J230" s="5">
        <f>Sales[[#This Row],[Quantity]]/SUM(Sales[Quantity])</f>
        <v>4.2295118272035666E-4</v>
      </c>
    </row>
    <row r="231" spans="1:10" x14ac:dyDescent="0.25">
      <c r="A231" t="s">
        <v>26</v>
      </c>
      <c r="B231" t="s">
        <v>21</v>
      </c>
      <c r="C231" t="s">
        <v>12</v>
      </c>
      <c r="D231">
        <v>2019</v>
      </c>
      <c r="E231">
        <v>258</v>
      </c>
      <c r="F231">
        <v>906</v>
      </c>
      <c r="G231">
        <v>313</v>
      </c>
      <c r="H231">
        <f>Sales[[#This Row],[Turnover]]-Sales[[#This Row],[Cost]]</f>
        <v>593</v>
      </c>
      <c r="I231" s="3">
        <f>Sales[[#This Row],[Turnover]]*1000/Sales[[#This Row],[Quantity]]</f>
        <v>3511.6279069767443</v>
      </c>
      <c r="J231" s="5">
        <f>Sales[[#This Row],[Quantity]]/SUM(Sales[Quantity])</f>
        <v>4.6833221090923611E-4</v>
      </c>
    </row>
    <row r="232" spans="1:10" x14ac:dyDescent="0.25">
      <c r="A232" t="s">
        <v>26</v>
      </c>
      <c r="B232" t="s">
        <v>21</v>
      </c>
      <c r="C232" t="s">
        <v>13</v>
      </c>
      <c r="D232">
        <v>2019</v>
      </c>
      <c r="E232">
        <v>232</v>
      </c>
      <c r="F232">
        <v>804</v>
      </c>
      <c r="G232">
        <v>281</v>
      </c>
      <c r="H232">
        <f>Sales[[#This Row],[Turnover]]-Sales[[#This Row],[Cost]]</f>
        <v>523</v>
      </c>
      <c r="I232" s="3">
        <f>Sales[[#This Row],[Turnover]]*1000/Sales[[#This Row],[Quantity]]</f>
        <v>3465.5172413793102</v>
      </c>
      <c r="J232" s="5">
        <f>Sales[[#This Row],[Quantity]]/SUM(Sales[Quantity])</f>
        <v>4.211359415928015E-4</v>
      </c>
    </row>
    <row r="233" spans="1:10" x14ac:dyDescent="0.25">
      <c r="A233" t="s">
        <v>26</v>
      </c>
      <c r="B233" t="s">
        <v>21</v>
      </c>
      <c r="C233" t="s">
        <v>16</v>
      </c>
      <c r="D233">
        <v>2019</v>
      </c>
      <c r="E233">
        <v>216</v>
      </c>
      <c r="F233">
        <v>749</v>
      </c>
      <c r="G233">
        <v>262</v>
      </c>
      <c r="H233">
        <f>Sales[[#This Row],[Turnover]]-Sales[[#This Row],[Cost]]</f>
        <v>487</v>
      </c>
      <c r="I233" s="3">
        <f>Sales[[#This Row],[Turnover]]*1000/Sales[[#This Row],[Quantity]]</f>
        <v>3467.5925925925926</v>
      </c>
      <c r="J233" s="5">
        <f>Sales[[#This Row],[Quantity]]/SUM(Sales[Quantity])</f>
        <v>3.9209208355191861E-4</v>
      </c>
    </row>
    <row r="234" spans="1:10" x14ac:dyDescent="0.25">
      <c r="A234" t="s">
        <v>26</v>
      </c>
      <c r="B234" t="s">
        <v>21</v>
      </c>
      <c r="C234" t="s">
        <v>1</v>
      </c>
      <c r="D234">
        <v>2019</v>
      </c>
      <c r="E234">
        <v>215</v>
      </c>
      <c r="F234">
        <v>756</v>
      </c>
      <c r="G234">
        <v>261</v>
      </c>
      <c r="H234">
        <f>Sales[[#This Row],[Turnover]]-Sales[[#This Row],[Cost]]</f>
        <v>495</v>
      </c>
      <c r="I234" s="3">
        <f>Sales[[#This Row],[Turnover]]*1000/Sales[[#This Row],[Quantity]]</f>
        <v>3516.2790697674418</v>
      </c>
      <c r="J234" s="5">
        <f>Sales[[#This Row],[Quantity]]/SUM(Sales[Quantity])</f>
        <v>3.9027684242436345E-4</v>
      </c>
    </row>
    <row r="235" spans="1:10" x14ac:dyDescent="0.25">
      <c r="A235" t="s">
        <v>26</v>
      </c>
      <c r="B235" t="s">
        <v>21</v>
      </c>
      <c r="C235" t="s">
        <v>17</v>
      </c>
      <c r="D235">
        <v>2019</v>
      </c>
      <c r="E235">
        <v>214</v>
      </c>
      <c r="F235">
        <v>741</v>
      </c>
      <c r="G235">
        <v>260</v>
      </c>
      <c r="H235">
        <f>Sales[[#This Row],[Turnover]]-Sales[[#This Row],[Cost]]</f>
        <v>481</v>
      </c>
      <c r="I235" s="3">
        <f>Sales[[#This Row],[Turnover]]*1000/Sales[[#This Row],[Quantity]]</f>
        <v>3462.6168224299067</v>
      </c>
      <c r="J235" s="5">
        <f>Sales[[#This Row],[Quantity]]/SUM(Sales[Quantity])</f>
        <v>3.8846160129680824E-4</v>
      </c>
    </row>
    <row r="236" spans="1:10" x14ac:dyDescent="0.25">
      <c r="A236" t="s">
        <v>26</v>
      </c>
      <c r="B236" t="s">
        <v>21</v>
      </c>
      <c r="C236" t="s">
        <v>15</v>
      </c>
      <c r="D236">
        <v>2019</v>
      </c>
      <c r="E236">
        <v>216</v>
      </c>
      <c r="F236">
        <v>761</v>
      </c>
      <c r="G236">
        <v>262</v>
      </c>
      <c r="H236">
        <f>Sales[[#This Row],[Turnover]]-Sales[[#This Row],[Cost]]</f>
        <v>499</v>
      </c>
      <c r="I236" s="3">
        <f>Sales[[#This Row],[Turnover]]*1000/Sales[[#This Row],[Quantity]]</f>
        <v>3523.1481481481483</v>
      </c>
      <c r="J236" s="5">
        <f>Sales[[#This Row],[Quantity]]/SUM(Sales[Quantity])</f>
        <v>3.9209208355191861E-4</v>
      </c>
    </row>
    <row r="237" spans="1:10" x14ac:dyDescent="0.25">
      <c r="A237" t="s">
        <v>26</v>
      </c>
      <c r="B237" t="s">
        <v>21</v>
      </c>
      <c r="C237" t="s">
        <v>14</v>
      </c>
      <c r="D237">
        <v>2019</v>
      </c>
      <c r="E237">
        <v>222</v>
      </c>
      <c r="F237">
        <v>770</v>
      </c>
      <c r="G237">
        <v>269</v>
      </c>
      <c r="H237">
        <f>Sales[[#This Row],[Turnover]]-Sales[[#This Row],[Cost]]</f>
        <v>501</v>
      </c>
      <c r="I237" s="3">
        <f>Sales[[#This Row],[Turnover]]*1000/Sales[[#This Row],[Quantity]]</f>
        <v>3468.4684684684685</v>
      </c>
      <c r="J237" s="5">
        <f>Sales[[#This Row],[Quantity]]/SUM(Sales[Quantity])</f>
        <v>4.0298353031724968E-4</v>
      </c>
    </row>
    <row r="238" spans="1:10" x14ac:dyDescent="0.25">
      <c r="A238" t="s">
        <v>26</v>
      </c>
      <c r="B238" t="s">
        <v>21</v>
      </c>
      <c r="C238" t="s">
        <v>2</v>
      </c>
      <c r="D238">
        <v>2019</v>
      </c>
      <c r="E238">
        <v>180</v>
      </c>
      <c r="F238">
        <v>637</v>
      </c>
      <c r="G238">
        <v>219</v>
      </c>
      <c r="H238">
        <f>Sales[[#This Row],[Turnover]]-Sales[[#This Row],[Cost]]</f>
        <v>418</v>
      </c>
      <c r="I238" s="3">
        <f>Sales[[#This Row],[Turnover]]*1000/Sales[[#This Row],[Quantity]]</f>
        <v>3538.8888888888887</v>
      </c>
      <c r="J238" s="5">
        <f>Sales[[#This Row],[Quantity]]/SUM(Sales[Quantity])</f>
        <v>3.2674340295993219E-4</v>
      </c>
    </row>
    <row r="239" spans="1:10" x14ac:dyDescent="0.25">
      <c r="A239" t="s">
        <v>26</v>
      </c>
      <c r="B239" t="s">
        <v>21</v>
      </c>
      <c r="C239" t="s">
        <v>3</v>
      </c>
      <c r="D239">
        <v>2019</v>
      </c>
      <c r="E239">
        <v>149</v>
      </c>
      <c r="F239">
        <v>521</v>
      </c>
      <c r="G239">
        <v>181</v>
      </c>
      <c r="H239">
        <f>Sales[[#This Row],[Turnover]]-Sales[[#This Row],[Cost]]</f>
        <v>340</v>
      </c>
      <c r="I239" s="3">
        <f>Sales[[#This Row],[Turnover]]*1000/Sales[[#This Row],[Quantity]]</f>
        <v>3496.6442953020132</v>
      </c>
      <c r="J239" s="5">
        <f>Sales[[#This Row],[Quantity]]/SUM(Sales[Quantity])</f>
        <v>2.7047092800572162E-4</v>
      </c>
    </row>
    <row r="240" spans="1:10" x14ac:dyDescent="0.25">
      <c r="A240" t="s">
        <v>26</v>
      </c>
      <c r="B240" t="s">
        <v>21</v>
      </c>
      <c r="C240" t="s">
        <v>18</v>
      </c>
      <c r="D240">
        <v>2019</v>
      </c>
      <c r="E240">
        <v>144</v>
      </c>
      <c r="F240">
        <v>508</v>
      </c>
      <c r="G240">
        <v>175</v>
      </c>
      <c r="H240">
        <f>Sales[[#This Row],[Turnover]]-Sales[[#This Row],[Cost]]</f>
        <v>333</v>
      </c>
      <c r="I240" s="3">
        <f>Sales[[#This Row],[Turnover]]*1000/Sales[[#This Row],[Quantity]]</f>
        <v>3527.7777777777778</v>
      </c>
      <c r="J240" s="5">
        <f>Sales[[#This Row],[Quantity]]/SUM(Sales[Quantity])</f>
        <v>2.6139472236794576E-4</v>
      </c>
    </row>
    <row r="241" spans="1:10" x14ac:dyDescent="0.25">
      <c r="A241" t="s">
        <v>29</v>
      </c>
      <c r="B241" t="s">
        <v>21</v>
      </c>
      <c r="C241" t="s">
        <v>12</v>
      </c>
      <c r="D241">
        <v>2019</v>
      </c>
      <c r="E241">
        <v>183</v>
      </c>
      <c r="F241">
        <v>754</v>
      </c>
      <c r="G241">
        <v>262</v>
      </c>
      <c r="H241">
        <f>Sales[[#This Row],[Turnover]]-Sales[[#This Row],[Cost]]</f>
        <v>492</v>
      </c>
      <c r="I241" s="3">
        <f>Sales[[#This Row],[Turnover]]*1000/Sales[[#This Row],[Quantity]]</f>
        <v>4120.2185792349728</v>
      </c>
      <c r="J241" s="5">
        <f>Sales[[#This Row],[Quantity]]/SUM(Sales[Quantity])</f>
        <v>3.3218912634259772E-4</v>
      </c>
    </row>
    <row r="242" spans="1:10" x14ac:dyDescent="0.25">
      <c r="A242" t="s">
        <v>29</v>
      </c>
      <c r="B242" t="s">
        <v>21</v>
      </c>
      <c r="C242" t="s">
        <v>13</v>
      </c>
      <c r="D242">
        <v>2019</v>
      </c>
      <c r="E242">
        <v>195</v>
      </c>
      <c r="F242">
        <v>800</v>
      </c>
      <c r="G242">
        <v>280</v>
      </c>
      <c r="H242">
        <f>Sales[[#This Row],[Turnover]]-Sales[[#This Row],[Cost]]</f>
        <v>520</v>
      </c>
      <c r="I242" s="3">
        <f>Sales[[#This Row],[Turnover]]*1000/Sales[[#This Row],[Quantity]]</f>
        <v>4102.5641025641025</v>
      </c>
      <c r="J242" s="5">
        <f>Sales[[#This Row],[Quantity]]/SUM(Sales[Quantity])</f>
        <v>3.5397201987325986E-4</v>
      </c>
    </row>
    <row r="243" spans="1:10" x14ac:dyDescent="0.25">
      <c r="A243" t="s">
        <v>29</v>
      </c>
      <c r="B243" t="s">
        <v>21</v>
      </c>
      <c r="C243" t="s">
        <v>16</v>
      </c>
      <c r="D243">
        <v>2019</v>
      </c>
      <c r="E243">
        <v>202</v>
      </c>
      <c r="F243">
        <v>831</v>
      </c>
      <c r="G243">
        <v>289</v>
      </c>
      <c r="H243">
        <f>Sales[[#This Row],[Turnover]]-Sales[[#This Row],[Cost]]</f>
        <v>542</v>
      </c>
      <c r="I243" s="3">
        <f>Sales[[#This Row],[Turnover]]*1000/Sales[[#This Row],[Quantity]]</f>
        <v>4113.8613861386139</v>
      </c>
      <c r="J243" s="5">
        <f>Sales[[#This Row],[Quantity]]/SUM(Sales[Quantity])</f>
        <v>3.6667870776614609E-4</v>
      </c>
    </row>
    <row r="244" spans="1:10" x14ac:dyDescent="0.25">
      <c r="A244" t="s">
        <v>29</v>
      </c>
      <c r="B244" t="s">
        <v>21</v>
      </c>
      <c r="C244" t="s">
        <v>1</v>
      </c>
      <c r="D244">
        <v>2019</v>
      </c>
      <c r="E244">
        <v>164</v>
      </c>
      <c r="F244">
        <v>676</v>
      </c>
      <c r="G244">
        <v>234</v>
      </c>
      <c r="H244">
        <f>Sales[[#This Row],[Turnover]]-Sales[[#This Row],[Cost]]</f>
        <v>442</v>
      </c>
      <c r="I244" s="3">
        <f>Sales[[#This Row],[Turnover]]*1000/Sales[[#This Row],[Quantity]]</f>
        <v>4121.9512195121952</v>
      </c>
      <c r="J244" s="5">
        <f>Sales[[#This Row],[Quantity]]/SUM(Sales[Quantity])</f>
        <v>2.9769954491904935E-4</v>
      </c>
    </row>
    <row r="245" spans="1:10" x14ac:dyDescent="0.25">
      <c r="A245" t="s">
        <v>29</v>
      </c>
      <c r="B245" t="s">
        <v>21</v>
      </c>
      <c r="C245" t="s">
        <v>17</v>
      </c>
      <c r="D245">
        <v>2019</v>
      </c>
      <c r="E245">
        <v>192</v>
      </c>
      <c r="F245">
        <v>781</v>
      </c>
      <c r="G245">
        <v>275</v>
      </c>
      <c r="H245">
        <f>Sales[[#This Row],[Turnover]]-Sales[[#This Row],[Cost]]</f>
        <v>506</v>
      </c>
      <c r="I245" s="3">
        <f>Sales[[#This Row],[Turnover]]*1000/Sales[[#This Row],[Quantity]]</f>
        <v>4067.7083333333335</v>
      </c>
      <c r="J245" s="5">
        <f>Sales[[#This Row],[Quantity]]/SUM(Sales[Quantity])</f>
        <v>3.4852629649059433E-4</v>
      </c>
    </row>
    <row r="246" spans="1:10" x14ac:dyDescent="0.25">
      <c r="A246" t="s">
        <v>29</v>
      </c>
      <c r="B246" t="s">
        <v>21</v>
      </c>
      <c r="C246" t="s">
        <v>15</v>
      </c>
      <c r="D246">
        <v>2019</v>
      </c>
      <c r="E246">
        <v>192</v>
      </c>
      <c r="F246">
        <v>786</v>
      </c>
      <c r="G246">
        <v>275</v>
      </c>
      <c r="H246">
        <f>Sales[[#This Row],[Turnover]]-Sales[[#This Row],[Cost]]</f>
        <v>511</v>
      </c>
      <c r="I246" s="3">
        <f>Sales[[#This Row],[Turnover]]*1000/Sales[[#This Row],[Quantity]]</f>
        <v>4093.75</v>
      </c>
      <c r="J246" s="5">
        <f>Sales[[#This Row],[Quantity]]/SUM(Sales[Quantity])</f>
        <v>3.4852629649059433E-4</v>
      </c>
    </row>
    <row r="247" spans="1:10" x14ac:dyDescent="0.25">
      <c r="A247" t="s">
        <v>29</v>
      </c>
      <c r="B247" t="s">
        <v>21</v>
      </c>
      <c r="C247" t="s">
        <v>14</v>
      </c>
      <c r="D247">
        <v>2019</v>
      </c>
      <c r="E247">
        <v>179</v>
      </c>
      <c r="F247">
        <v>730</v>
      </c>
      <c r="G247">
        <v>256</v>
      </c>
      <c r="H247">
        <f>Sales[[#This Row],[Turnover]]-Sales[[#This Row],[Cost]]</f>
        <v>474</v>
      </c>
      <c r="I247" s="3">
        <f>Sales[[#This Row],[Turnover]]*1000/Sales[[#This Row],[Quantity]]</f>
        <v>4078.2122905027932</v>
      </c>
      <c r="J247" s="5">
        <f>Sales[[#This Row],[Quantity]]/SUM(Sales[Quantity])</f>
        <v>3.2492816183237702E-4</v>
      </c>
    </row>
    <row r="248" spans="1:10" x14ac:dyDescent="0.25">
      <c r="A248" t="s">
        <v>29</v>
      </c>
      <c r="B248" t="s">
        <v>21</v>
      </c>
      <c r="C248" t="s">
        <v>2</v>
      </c>
      <c r="D248">
        <v>2019</v>
      </c>
      <c r="E248">
        <v>163</v>
      </c>
      <c r="F248">
        <v>664</v>
      </c>
      <c r="G248">
        <v>233</v>
      </c>
      <c r="H248">
        <f>Sales[[#This Row],[Turnover]]-Sales[[#This Row],[Cost]]</f>
        <v>431</v>
      </c>
      <c r="I248" s="3">
        <f>Sales[[#This Row],[Turnover]]*1000/Sales[[#This Row],[Quantity]]</f>
        <v>4073.6196319018404</v>
      </c>
      <c r="J248" s="5">
        <f>Sales[[#This Row],[Quantity]]/SUM(Sales[Quantity])</f>
        <v>2.9588430379149413E-4</v>
      </c>
    </row>
    <row r="249" spans="1:10" x14ac:dyDescent="0.25">
      <c r="A249" t="s">
        <v>29</v>
      </c>
      <c r="B249" t="s">
        <v>21</v>
      </c>
      <c r="C249" t="s">
        <v>3</v>
      </c>
      <c r="D249">
        <v>2019</v>
      </c>
      <c r="E249">
        <v>172</v>
      </c>
      <c r="F249">
        <v>702</v>
      </c>
      <c r="G249">
        <v>246</v>
      </c>
      <c r="H249">
        <f>Sales[[#This Row],[Turnover]]-Sales[[#This Row],[Cost]]</f>
        <v>456</v>
      </c>
      <c r="I249" s="3">
        <f>Sales[[#This Row],[Turnover]]*1000/Sales[[#This Row],[Quantity]]</f>
        <v>4081.3953488372094</v>
      </c>
      <c r="J249" s="5">
        <f>Sales[[#This Row],[Quantity]]/SUM(Sales[Quantity])</f>
        <v>3.1222147393949074E-4</v>
      </c>
    </row>
    <row r="250" spans="1:10" x14ac:dyDescent="0.25">
      <c r="A250" t="s">
        <v>29</v>
      </c>
      <c r="B250" t="s">
        <v>21</v>
      </c>
      <c r="C250" t="s">
        <v>18</v>
      </c>
      <c r="D250">
        <v>2019</v>
      </c>
      <c r="E250">
        <v>172</v>
      </c>
      <c r="F250">
        <v>701</v>
      </c>
      <c r="G250">
        <v>246</v>
      </c>
      <c r="H250">
        <f>Sales[[#This Row],[Turnover]]-Sales[[#This Row],[Cost]]</f>
        <v>455</v>
      </c>
      <c r="I250" s="3">
        <f>Sales[[#This Row],[Turnover]]*1000/Sales[[#This Row],[Quantity]]</f>
        <v>4075.5813953488373</v>
      </c>
      <c r="J250" s="5">
        <f>Sales[[#This Row],[Quantity]]/SUM(Sales[Quantity])</f>
        <v>3.1222147393949074E-4</v>
      </c>
    </row>
    <row r="251" spans="1:10" x14ac:dyDescent="0.25">
      <c r="A251" t="s">
        <v>27</v>
      </c>
      <c r="B251" t="s">
        <v>21</v>
      </c>
      <c r="C251" t="s">
        <v>12</v>
      </c>
      <c r="D251">
        <v>2020</v>
      </c>
      <c r="E251">
        <v>423</v>
      </c>
      <c r="F251">
        <v>253</v>
      </c>
      <c r="G251">
        <v>246</v>
      </c>
      <c r="H251">
        <f>Sales[[#This Row],[Turnover]]-Sales[[#This Row],[Cost]]</f>
        <v>7</v>
      </c>
      <c r="I251" s="3">
        <f>Sales[[#This Row],[Turnover]]*1000/Sales[[#This Row],[Quantity]]</f>
        <v>598.10874704491721</v>
      </c>
      <c r="J251" s="5">
        <f>Sales[[#This Row],[Quantity]]/SUM(Sales[Quantity])</f>
        <v>7.6784699695584067E-4</v>
      </c>
    </row>
    <row r="252" spans="1:10" x14ac:dyDescent="0.25">
      <c r="A252" t="s">
        <v>27</v>
      </c>
      <c r="B252" t="s">
        <v>21</v>
      </c>
      <c r="C252" t="s">
        <v>13</v>
      </c>
      <c r="D252">
        <v>2020</v>
      </c>
      <c r="E252">
        <v>441</v>
      </c>
      <c r="F252">
        <v>263</v>
      </c>
      <c r="G252">
        <v>256</v>
      </c>
      <c r="H252">
        <f>Sales[[#This Row],[Turnover]]-Sales[[#This Row],[Cost]]</f>
        <v>7</v>
      </c>
      <c r="I252" s="3">
        <f>Sales[[#This Row],[Turnover]]*1000/Sales[[#This Row],[Quantity]]</f>
        <v>596.37188208616783</v>
      </c>
      <c r="J252" s="5">
        <f>Sales[[#This Row],[Quantity]]/SUM(Sales[Quantity])</f>
        <v>8.0052133725183388E-4</v>
      </c>
    </row>
    <row r="253" spans="1:10" x14ac:dyDescent="0.25">
      <c r="A253" t="s">
        <v>27</v>
      </c>
      <c r="B253" t="s">
        <v>21</v>
      </c>
      <c r="C253" t="s">
        <v>16</v>
      </c>
      <c r="D253">
        <v>2020</v>
      </c>
      <c r="E253">
        <v>453</v>
      </c>
      <c r="F253">
        <v>273</v>
      </c>
      <c r="G253">
        <v>264</v>
      </c>
      <c r="H253">
        <f>Sales[[#This Row],[Turnover]]-Sales[[#This Row],[Cost]]</f>
        <v>9</v>
      </c>
      <c r="I253" s="3">
        <f>Sales[[#This Row],[Turnover]]*1000/Sales[[#This Row],[Quantity]]</f>
        <v>602.64900662251659</v>
      </c>
      <c r="J253" s="5">
        <f>Sales[[#This Row],[Quantity]]/SUM(Sales[Quantity])</f>
        <v>8.2230423078249603E-4</v>
      </c>
    </row>
    <row r="254" spans="1:10" x14ac:dyDescent="0.25">
      <c r="A254" t="s">
        <v>27</v>
      </c>
      <c r="B254" t="s">
        <v>21</v>
      </c>
      <c r="C254" t="s">
        <v>1</v>
      </c>
      <c r="D254">
        <v>2020</v>
      </c>
      <c r="E254">
        <v>362</v>
      </c>
      <c r="F254">
        <v>216</v>
      </c>
      <c r="G254">
        <v>211</v>
      </c>
      <c r="H254">
        <f>Sales[[#This Row],[Turnover]]-Sales[[#This Row],[Cost]]</f>
        <v>5</v>
      </c>
      <c r="I254" s="3">
        <f>Sales[[#This Row],[Turnover]]*1000/Sales[[#This Row],[Quantity]]</f>
        <v>596.68508287292821</v>
      </c>
      <c r="J254" s="5">
        <f>Sales[[#This Row],[Quantity]]/SUM(Sales[Quantity])</f>
        <v>6.5711728817497469E-4</v>
      </c>
    </row>
    <row r="255" spans="1:10" x14ac:dyDescent="0.25">
      <c r="A255" t="s">
        <v>27</v>
      </c>
      <c r="B255" t="s">
        <v>21</v>
      </c>
      <c r="C255" t="s">
        <v>17</v>
      </c>
      <c r="D255">
        <v>2020</v>
      </c>
      <c r="E255">
        <v>335</v>
      </c>
      <c r="F255">
        <v>199</v>
      </c>
      <c r="G255">
        <v>195</v>
      </c>
      <c r="H255">
        <f>Sales[[#This Row],[Turnover]]-Sales[[#This Row],[Cost]]</f>
        <v>4</v>
      </c>
      <c r="I255" s="3">
        <f>Sales[[#This Row],[Turnover]]*1000/Sales[[#This Row],[Quantity]]</f>
        <v>594.02985074626861</v>
      </c>
      <c r="J255" s="5">
        <f>Sales[[#This Row],[Quantity]]/SUM(Sales[Quantity])</f>
        <v>6.0810577773098493E-4</v>
      </c>
    </row>
    <row r="256" spans="1:10" x14ac:dyDescent="0.25">
      <c r="A256" t="s">
        <v>27</v>
      </c>
      <c r="B256" t="s">
        <v>21</v>
      </c>
      <c r="C256" t="s">
        <v>15</v>
      </c>
      <c r="D256">
        <v>2020</v>
      </c>
      <c r="E256">
        <v>357</v>
      </c>
      <c r="F256">
        <v>215</v>
      </c>
      <c r="G256">
        <v>208</v>
      </c>
      <c r="H256">
        <f>Sales[[#This Row],[Turnover]]-Sales[[#This Row],[Cost]]</f>
        <v>7</v>
      </c>
      <c r="I256" s="3">
        <f>Sales[[#This Row],[Turnover]]*1000/Sales[[#This Row],[Quantity]]</f>
        <v>602.24089635854341</v>
      </c>
      <c r="J256" s="5">
        <f>Sales[[#This Row],[Quantity]]/SUM(Sales[Quantity])</f>
        <v>6.4804108253719878E-4</v>
      </c>
    </row>
    <row r="257" spans="1:10" x14ac:dyDescent="0.25">
      <c r="A257" t="s">
        <v>27</v>
      </c>
      <c r="B257" t="s">
        <v>21</v>
      </c>
      <c r="C257" t="s">
        <v>14</v>
      </c>
      <c r="D257">
        <v>2020</v>
      </c>
      <c r="E257">
        <v>320</v>
      </c>
      <c r="F257">
        <v>191</v>
      </c>
      <c r="G257">
        <v>186</v>
      </c>
      <c r="H257">
        <f>Sales[[#This Row],[Turnover]]-Sales[[#This Row],[Cost]]</f>
        <v>5</v>
      </c>
      <c r="I257" s="3">
        <f>Sales[[#This Row],[Turnover]]*1000/Sales[[#This Row],[Quantity]]</f>
        <v>596.875</v>
      </c>
      <c r="J257" s="5">
        <f>Sales[[#This Row],[Quantity]]/SUM(Sales[Quantity])</f>
        <v>5.8087716081765719E-4</v>
      </c>
    </row>
    <row r="258" spans="1:10" x14ac:dyDescent="0.25">
      <c r="A258" t="s">
        <v>27</v>
      </c>
      <c r="B258" t="s">
        <v>21</v>
      </c>
      <c r="C258" t="s">
        <v>2</v>
      </c>
      <c r="D258">
        <v>2020</v>
      </c>
      <c r="E258">
        <v>392</v>
      </c>
      <c r="F258">
        <v>237</v>
      </c>
      <c r="G258">
        <v>228</v>
      </c>
      <c r="H258">
        <f>Sales[[#This Row],[Turnover]]-Sales[[#This Row],[Cost]]</f>
        <v>9</v>
      </c>
      <c r="I258" s="3">
        <f>Sales[[#This Row],[Turnover]]*1000/Sales[[#This Row],[Quantity]]</f>
        <v>604.59183673469386</v>
      </c>
      <c r="J258" s="5">
        <f>Sales[[#This Row],[Quantity]]/SUM(Sales[Quantity])</f>
        <v>7.1157452200163005E-4</v>
      </c>
    </row>
    <row r="259" spans="1:10" x14ac:dyDescent="0.25">
      <c r="A259" t="s">
        <v>27</v>
      </c>
      <c r="B259" t="s">
        <v>21</v>
      </c>
      <c r="C259" t="s">
        <v>3</v>
      </c>
      <c r="D259">
        <v>2020</v>
      </c>
      <c r="E259">
        <v>319</v>
      </c>
      <c r="F259">
        <v>191</v>
      </c>
      <c r="G259">
        <v>186</v>
      </c>
      <c r="H259">
        <f>Sales[[#This Row],[Turnover]]-Sales[[#This Row],[Cost]]</f>
        <v>5</v>
      </c>
      <c r="I259" s="3">
        <f>Sales[[#This Row],[Turnover]]*1000/Sales[[#This Row],[Quantity]]</f>
        <v>598.74608150470215</v>
      </c>
      <c r="J259" s="5">
        <f>Sales[[#This Row],[Quantity]]/SUM(Sales[Quantity])</f>
        <v>5.7906191969010203E-4</v>
      </c>
    </row>
    <row r="260" spans="1:10" x14ac:dyDescent="0.25">
      <c r="A260" t="s">
        <v>27</v>
      </c>
      <c r="B260" t="s">
        <v>21</v>
      </c>
      <c r="C260" t="s">
        <v>18</v>
      </c>
      <c r="D260">
        <v>2020</v>
      </c>
      <c r="E260">
        <v>262</v>
      </c>
      <c r="F260">
        <v>156</v>
      </c>
      <c r="G260">
        <v>152</v>
      </c>
      <c r="H260">
        <f>Sales[[#This Row],[Turnover]]-Sales[[#This Row],[Cost]]</f>
        <v>4</v>
      </c>
      <c r="I260" s="3">
        <f>Sales[[#This Row],[Turnover]]*1000/Sales[[#This Row],[Quantity]]</f>
        <v>595.41984732824426</v>
      </c>
      <c r="J260" s="5">
        <f>Sales[[#This Row],[Quantity]]/SUM(Sales[Quantity])</f>
        <v>4.7559317541945686E-4</v>
      </c>
    </row>
    <row r="261" spans="1:10" x14ac:dyDescent="0.25">
      <c r="A261" t="s">
        <v>27</v>
      </c>
      <c r="B261" t="s">
        <v>21</v>
      </c>
      <c r="C261" t="s">
        <v>4</v>
      </c>
      <c r="D261">
        <v>2020</v>
      </c>
      <c r="E261">
        <v>313</v>
      </c>
      <c r="F261">
        <v>189</v>
      </c>
      <c r="G261">
        <v>182</v>
      </c>
      <c r="H261">
        <f>Sales[[#This Row],[Turnover]]-Sales[[#This Row],[Cost]]</f>
        <v>7</v>
      </c>
      <c r="I261" s="3">
        <f>Sales[[#This Row],[Turnover]]*1000/Sales[[#This Row],[Quantity]]</f>
        <v>603.83386581469654</v>
      </c>
      <c r="J261" s="5">
        <f>Sales[[#This Row],[Quantity]]/SUM(Sales[Quantity])</f>
        <v>5.6817047292477096E-4</v>
      </c>
    </row>
    <row r="262" spans="1:10" x14ac:dyDescent="0.25">
      <c r="A262" t="s">
        <v>27</v>
      </c>
      <c r="B262" t="s">
        <v>21</v>
      </c>
      <c r="C262" t="s">
        <v>19</v>
      </c>
      <c r="D262">
        <v>2020</v>
      </c>
      <c r="E262">
        <v>265</v>
      </c>
      <c r="F262">
        <v>158</v>
      </c>
      <c r="G262">
        <v>154</v>
      </c>
      <c r="H262">
        <f>Sales[[#This Row],[Turnover]]-Sales[[#This Row],[Cost]]</f>
        <v>4</v>
      </c>
      <c r="I262" s="3">
        <f>Sales[[#This Row],[Turnover]]*1000/Sales[[#This Row],[Quantity]]</f>
        <v>596.22641509433959</v>
      </c>
      <c r="J262" s="5">
        <f>Sales[[#This Row],[Quantity]]/SUM(Sales[Quantity])</f>
        <v>4.8103889880212239E-4</v>
      </c>
    </row>
    <row r="263" spans="1:10" x14ac:dyDescent="0.25">
      <c r="A263" t="s">
        <v>28</v>
      </c>
      <c r="B263" t="s">
        <v>21</v>
      </c>
      <c r="C263" t="s">
        <v>12</v>
      </c>
      <c r="D263">
        <v>2020</v>
      </c>
      <c r="E263">
        <v>352</v>
      </c>
      <c r="F263">
        <v>247</v>
      </c>
      <c r="G263">
        <v>212</v>
      </c>
      <c r="H263">
        <f>Sales[[#This Row],[Turnover]]-Sales[[#This Row],[Cost]]</f>
        <v>35</v>
      </c>
      <c r="I263" s="3">
        <f>Sales[[#This Row],[Turnover]]*1000/Sales[[#This Row],[Quantity]]</f>
        <v>701.7045454545455</v>
      </c>
      <c r="J263" s="5">
        <f>Sales[[#This Row],[Quantity]]/SUM(Sales[Quantity])</f>
        <v>6.3896487689942298E-4</v>
      </c>
    </row>
    <row r="264" spans="1:10" x14ac:dyDescent="0.25">
      <c r="A264" t="s">
        <v>28</v>
      </c>
      <c r="B264" t="s">
        <v>21</v>
      </c>
      <c r="C264" t="s">
        <v>13</v>
      </c>
      <c r="D264">
        <v>2020</v>
      </c>
      <c r="E264">
        <v>308</v>
      </c>
      <c r="F264">
        <v>215</v>
      </c>
      <c r="G264">
        <v>186</v>
      </c>
      <c r="H264">
        <f>Sales[[#This Row],[Turnover]]-Sales[[#This Row],[Cost]]</f>
        <v>29</v>
      </c>
      <c r="I264" s="3">
        <f>Sales[[#This Row],[Turnover]]*1000/Sales[[#This Row],[Quantity]]</f>
        <v>698.0519480519481</v>
      </c>
      <c r="J264" s="5">
        <f>Sales[[#This Row],[Quantity]]/SUM(Sales[Quantity])</f>
        <v>5.5909426728699505E-4</v>
      </c>
    </row>
    <row r="265" spans="1:10" x14ac:dyDescent="0.25">
      <c r="A265" t="s">
        <v>28</v>
      </c>
      <c r="B265" t="s">
        <v>21</v>
      </c>
      <c r="C265" t="s">
        <v>16</v>
      </c>
      <c r="D265">
        <v>2020</v>
      </c>
      <c r="E265">
        <v>371</v>
      </c>
      <c r="F265">
        <v>258</v>
      </c>
      <c r="G265">
        <v>223</v>
      </c>
      <c r="H265">
        <f>Sales[[#This Row],[Turnover]]-Sales[[#This Row],[Cost]]</f>
        <v>35</v>
      </c>
      <c r="I265" s="3">
        <f>Sales[[#This Row],[Turnover]]*1000/Sales[[#This Row],[Quantity]]</f>
        <v>695.41778975741238</v>
      </c>
      <c r="J265" s="5">
        <f>Sales[[#This Row],[Quantity]]/SUM(Sales[Quantity])</f>
        <v>6.7345445832297135E-4</v>
      </c>
    </row>
    <row r="266" spans="1:10" x14ac:dyDescent="0.25">
      <c r="A266" t="s">
        <v>28</v>
      </c>
      <c r="B266" t="s">
        <v>21</v>
      </c>
      <c r="C266" t="s">
        <v>1</v>
      </c>
      <c r="D266">
        <v>2020</v>
      </c>
      <c r="E266">
        <v>351</v>
      </c>
      <c r="F266">
        <v>245</v>
      </c>
      <c r="G266">
        <v>212</v>
      </c>
      <c r="H266">
        <f>Sales[[#This Row],[Turnover]]-Sales[[#This Row],[Cost]]</f>
        <v>33</v>
      </c>
      <c r="I266" s="3">
        <f>Sales[[#This Row],[Turnover]]*1000/Sales[[#This Row],[Quantity]]</f>
        <v>698.00569800569804</v>
      </c>
      <c r="J266" s="5">
        <f>Sales[[#This Row],[Quantity]]/SUM(Sales[Quantity])</f>
        <v>6.3714963577186771E-4</v>
      </c>
    </row>
    <row r="267" spans="1:10" x14ac:dyDescent="0.25">
      <c r="A267" t="s">
        <v>28</v>
      </c>
      <c r="B267" t="s">
        <v>21</v>
      </c>
      <c r="C267" t="s">
        <v>17</v>
      </c>
      <c r="D267">
        <v>2020</v>
      </c>
      <c r="E267">
        <v>311</v>
      </c>
      <c r="F267">
        <v>216</v>
      </c>
      <c r="G267">
        <v>187</v>
      </c>
      <c r="H267">
        <f>Sales[[#This Row],[Turnover]]-Sales[[#This Row],[Cost]]</f>
        <v>29</v>
      </c>
      <c r="I267" s="3">
        <f>Sales[[#This Row],[Turnover]]*1000/Sales[[#This Row],[Quantity]]</f>
        <v>694.53376205787777</v>
      </c>
      <c r="J267" s="5">
        <f>Sales[[#This Row],[Quantity]]/SUM(Sales[Quantity])</f>
        <v>5.6453999066966064E-4</v>
      </c>
    </row>
    <row r="268" spans="1:10" x14ac:dyDescent="0.25">
      <c r="A268" t="s">
        <v>28</v>
      </c>
      <c r="B268" t="s">
        <v>21</v>
      </c>
      <c r="C268" t="s">
        <v>15</v>
      </c>
      <c r="D268">
        <v>2020</v>
      </c>
      <c r="E268">
        <v>340</v>
      </c>
      <c r="F268">
        <v>239</v>
      </c>
      <c r="G268">
        <v>205</v>
      </c>
      <c r="H268">
        <f>Sales[[#This Row],[Turnover]]-Sales[[#This Row],[Cost]]</f>
        <v>34</v>
      </c>
      <c r="I268" s="3">
        <f>Sales[[#This Row],[Turnover]]*1000/Sales[[#This Row],[Quantity]]</f>
        <v>702.94117647058829</v>
      </c>
      <c r="J268" s="5">
        <f>Sales[[#This Row],[Quantity]]/SUM(Sales[Quantity])</f>
        <v>6.1718198336876084E-4</v>
      </c>
    </row>
    <row r="269" spans="1:10" x14ac:dyDescent="0.25">
      <c r="A269" t="s">
        <v>28</v>
      </c>
      <c r="B269" t="s">
        <v>21</v>
      </c>
      <c r="C269" t="s">
        <v>14</v>
      </c>
      <c r="D269">
        <v>2020</v>
      </c>
      <c r="E269">
        <v>353</v>
      </c>
      <c r="F269">
        <v>247</v>
      </c>
      <c r="G269">
        <v>212</v>
      </c>
      <c r="H269">
        <f>Sales[[#This Row],[Turnover]]-Sales[[#This Row],[Cost]]</f>
        <v>35</v>
      </c>
      <c r="I269" s="3">
        <f>Sales[[#This Row],[Turnover]]*1000/Sales[[#This Row],[Quantity]]</f>
        <v>699.71671388101981</v>
      </c>
      <c r="J269" s="5">
        <f>Sales[[#This Row],[Quantity]]/SUM(Sales[Quantity])</f>
        <v>6.4078011802697814E-4</v>
      </c>
    </row>
    <row r="270" spans="1:10" x14ac:dyDescent="0.25">
      <c r="A270" t="s">
        <v>28</v>
      </c>
      <c r="B270" t="s">
        <v>21</v>
      </c>
      <c r="C270" t="s">
        <v>2</v>
      </c>
      <c r="D270">
        <v>2020</v>
      </c>
      <c r="E270">
        <v>320</v>
      </c>
      <c r="F270">
        <v>222</v>
      </c>
      <c r="G270">
        <v>192</v>
      </c>
      <c r="H270">
        <f>Sales[[#This Row],[Turnover]]-Sales[[#This Row],[Cost]]</f>
        <v>30</v>
      </c>
      <c r="I270" s="3">
        <f>Sales[[#This Row],[Turnover]]*1000/Sales[[#This Row],[Quantity]]</f>
        <v>693.75</v>
      </c>
      <c r="J270" s="5">
        <f>Sales[[#This Row],[Quantity]]/SUM(Sales[Quantity])</f>
        <v>5.8087716081765719E-4</v>
      </c>
    </row>
    <row r="271" spans="1:10" x14ac:dyDescent="0.25">
      <c r="A271" t="s">
        <v>28</v>
      </c>
      <c r="B271" t="s">
        <v>21</v>
      </c>
      <c r="C271" t="s">
        <v>3</v>
      </c>
      <c r="D271">
        <v>2020</v>
      </c>
      <c r="E271">
        <v>337</v>
      </c>
      <c r="F271">
        <v>234</v>
      </c>
      <c r="G271">
        <v>203</v>
      </c>
      <c r="H271">
        <f>Sales[[#This Row],[Turnover]]-Sales[[#This Row],[Cost]]</f>
        <v>31</v>
      </c>
      <c r="I271" s="3">
        <f>Sales[[#This Row],[Turnover]]*1000/Sales[[#This Row],[Quantity]]</f>
        <v>694.36201780415433</v>
      </c>
      <c r="J271" s="5">
        <f>Sales[[#This Row],[Quantity]]/SUM(Sales[Quantity])</f>
        <v>6.1173625998609525E-4</v>
      </c>
    </row>
    <row r="272" spans="1:10" x14ac:dyDescent="0.25">
      <c r="A272" t="s">
        <v>28</v>
      </c>
      <c r="B272" t="s">
        <v>21</v>
      </c>
      <c r="C272" t="s">
        <v>18</v>
      </c>
      <c r="D272">
        <v>2020</v>
      </c>
      <c r="E272">
        <v>352</v>
      </c>
      <c r="F272">
        <v>245</v>
      </c>
      <c r="G272">
        <v>212</v>
      </c>
      <c r="H272">
        <f>Sales[[#This Row],[Turnover]]-Sales[[#This Row],[Cost]]</f>
        <v>33</v>
      </c>
      <c r="I272" s="3">
        <f>Sales[[#This Row],[Turnover]]*1000/Sales[[#This Row],[Quantity]]</f>
        <v>696.02272727272725</v>
      </c>
      <c r="J272" s="5">
        <f>Sales[[#This Row],[Quantity]]/SUM(Sales[Quantity])</f>
        <v>6.3896487689942298E-4</v>
      </c>
    </row>
    <row r="273" spans="1:10" x14ac:dyDescent="0.25">
      <c r="A273" t="s">
        <v>28</v>
      </c>
      <c r="B273" t="s">
        <v>21</v>
      </c>
      <c r="C273" t="s">
        <v>4</v>
      </c>
      <c r="D273">
        <v>2020</v>
      </c>
      <c r="E273">
        <v>307</v>
      </c>
      <c r="F273">
        <v>217</v>
      </c>
      <c r="G273">
        <v>185</v>
      </c>
      <c r="H273">
        <f>Sales[[#This Row],[Turnover]]-Sales[[#This Row],[Cost]]</f>
        <v>32</v>
      </c>
      <c r="I273" s="3">
        <f>Sales[[#This Row],[Turnover]]*1000/Sales[[#This Row],[Quantity]]</f>
        <v>706.84039087947883</v>
      </c>
      <c r="J273" s="5">
        <f>Sales[[#This Row],[Quantity]]/SUM(Sales[Quantity])</f>
        <v>5.5727902615943989E-4</v>
      </c>
    </row>
    <row r="274" spans="1:10" x14ac:dyDescent="0.25">
      <c r="A274" t="s">
        <v>28</v>
      </c>
      <c r="B274" t="s">
        <v>21</v>
      </c>
      <c r="C274" t="s">
        <v>19</v>
      </c>
      <c r="D274">
        <v>2020</v>
      </c>
      <c r="E274">
        <v>339</v>
      </c>
      <c r="F274">
        <v>238</v>
      </c>
      <c r="G274">
        <v>204</v>
      </c>
      <c r="H274">
        <f>Sales[[#This Row],[Turnover]]-Sales[[#This Row],[Cost]]</f>
        <v>34</v>
      </c>
      <c r="I274" s="3">
        <f>Sales[[#This Row],[Turnover]]*1000/Sales[[#This Row],[Quantity]]</f>
        <v>702.06489675516229</v>
      </c>
      <c r="J274" s="5">
        <f>Sales[[#This Row],[Quantity]]/SUM(Sales[Quantity])</f>
        <v>6.1536674224120557E-4</v>
      </c>
    </row>
    <row r="275" spans="1:10" x14ac:dyDescent="0.25">
      <c r="A275" t="s">
        <v>29</v>
      </c>
      <c r="B275" t="s">
        <v>21</v>
      </c>
      <c r="C275" t="s">
        <v>12</v>
      </c>
      <c r="D275">
        <v>2020</v>
      </c>
      <c r="E275">
        <v>105</v>
      </c>
      <c r="F275">
        <v>942</v>
      </c>
      <c r="G275">
        <v>340</v>
      </c>
      <c r="H275">
        <f>Sales[[#This Row],[Turnover]]-Sales[[#This Row],[Cost]]</f>
        <v>602</v>
      </c>
      <c r="I275" s="3">
        <f>Sales[[#This Row],[Turnover]]*1000/Sales[[#This Row],[Quantity]]</f>
        <v>8971.4285714285706</v>
      </c>
      <c r="J275" s="5">
        <f>Sales[[#This Row],[Quantity]]/SUM(Sales[Quantity])</f>
        <v>1.9060031839329377E-4</v>
      </c>
    </row>
    <row r="276" spans="1:10" x14ac:dyDescent="0.25">
      <c r="A276" t="s">
        <v>29</v>
      </c>
      <c r="B276" t="s">
        <v>21</v>
      </c>
      <c r="C276" t="s">
        <v>13</v>
      </c>
      <c r="D276">
        <v>2020</v>
      </c>
      <c r="E276">
        <v>118</v>
      </c>
      <c r="F276">
        <v>1063</v>
      </c>
      <c r="G276">
        <v>380</v>
      </c>
      <c r="H276">
        <f>Sales[[#This Row],[Turnover]]-Sales[[#This Row],[Cost]]</f>
        <v>683</v>
      </c>
      <c r="I276" s="3">
        <f>Sales[[#This Row],[Turnover]]*1000/Sales[[#This Row],[Quantity]]</f>
        <v>9008.4745762711864</v>
      </c>
      <c r="J276" s="5">
        <f>Sales[[#This Row],[Quantity]]/SUM(Sales[Quantity])</f>
        <v>2.141984530515111E-4</v>
      </c>
    </row>
    <row r="277" spans="1:10" x14ac:dyDescent="0.25">
      <c r="A277" t="s">
        <v>29</v>
      </c>
      <c r="B277" t="s">
        <v>21</v>
      </c>
      <c r="C277" t="s">
        <v>16</v>
      </c>
      <c r="D277">
        <v>2020</v>
      </c>
      <c r="E277">
        <v>127</v>
      </c>
      <c r="F277">
        <v>1130</v>
      </c>
      <c r="G277">
        <v>409</v>
      </c>
      <c r="H277">
        <f>Sales[[#This Row],[Turnover]]-Sales[[#This Row],[Cost]]</f>
        <v>721</v>
      </c>
      <c r="I277" s="3">
        <f>Sales[[#This Row],[Turnover]]*1000/Sales[[#This Row],[Quantity]]</f>
        <v>8897.6377952755902</v>
      </c>
      <c r="J277" s="5">
        <f>Sales[[#This Row],[Quantity]]/SUM(Sales[Quantity])</f>
        <v>2.3053562319950771E-4</v>
      </c>
    </row>
    <row r="278" spans="1:10" x14ac:dyDescent="0.25">
      <c r="A278" t="s">
        <v>29</v>
      </c>
      <c r="B278" t="s">
        <v>21</v>
      </c>
      <c r="C278" t="s">
        <v>1</v>
      </c>
      <c r="D278">
        <v>2020</v>
      </c>
      <c r="E278">
        <v>152</v>
      </c>
      <c r="F278">
        <v>1217</v>
      </c>
      <c r="G278">
        <v>492</v>
      </c>
      <c r="H278">
        <f>Sales[[#This Row],[Turnover]]-Sales[[#This Row],[Cost]]</f>
        <v>725</v>
      </c>
      <c r="I278" s="3">
        <f>Sales[[#This Row],[Turnover]]*1000/Sales[[#This Row],[Quantity]]</f>
        <v>8006.5789473684208</v>
      </c>
      <c r="J278" s="5">
        <f>Sales[[#This Row],[Quantity]]/SUM(Sales[Quantity])</f>
        <v>2.7591665138838715E-4</v>
      </c>
    </row>
    <row r="279" spans="1:10" x14ac:dyDescent="0.25">
      <c r="A279" t="s">
        <v>29</v>
      </c>
      <c r="B279" t="s">
        <v>21</v>
      </c>
      <c r="C279" t="s">
        <v>17</v>
      </c>
      <c r="D279">
        <v>2020</v>
      </c>
      <c r="E279">
        <v>176</v>
      </c>
      <c r="F279">
        <v>1405</v>
      </c>
      <c r="G279">
        <v>568</v>
      </c>
      <c r="H279">
        <f>Sales[[#This Row],[Turnover]]-Sales[[#This Row],[Cost]]</f>
        <v>837</v>
      </c>
      <c r="I279" s="3">
        <f>Sales[[#This Row],[Turnover]]*1000/Sales[[#This Row],[Quantity]]</f>
        <v>7982.954545454545</v>
      </c>
      <c r="J279" s="5">
        <f>Sales[[#This Row],[Quantity]]/SUM(Sales[Quantity])</f>
        <v>3.1948243844971149E-4</v>
      </c>
    </row>
    <row r="280" spans="1:10" x14ac:dyDescent="0.25">
      <c r="A280" t="s">
        <v>29</v>
      </c>
      <c r="B280" t="s">
        <v>21</v>
      </c>
      <c r="C280" t="s">
        <v>15</v>
      </c>
      <c r="D280">
        <v>2020</v>
      </c>
      <c r="E280">
        <v>195</v>
      </c>
      <c r="F280">
        <v>1561</v>
      </c>
      <c r="G280">
        <v>630</v>
      </c>
      <c r="H280">
        <f>Sales[[#This Row],[Turnover]]-Sales[[#This Row],[Cost]]</f>
        <v>931</v>
      </c>
      <c r="I280" s="3">
        <f>Sales[[#This Row],[Turnover]]*1000/Sales[[#This Row],[Quantity]]</f>
        <v>8005.1282051282051</v>
      </c>
      <c r="J280" s="5">
        <f>Sales[[#This Row],[Quantity]]/SUM(Sales[Quantity])</f>
        <v>3.5397201987325986E-4</v>
      </c>
    </row>
    <row r="281" spans="1:10" x14ac:dyDescent="0.25">
      <c r="A281" t="s">
        <v>29</v>
      </c>
      <c r="B281" t="s">
        <v>21</v>
      </c>
      <c r="C281" t="s">
        <v>14</v>
      </c>
      <c r="D281">
        <v>2020</v>
      </c>
      <c r="E281">
        <v>157</v>
      </c>
      <c r="F281">
        <v>1247</v>
      </c>
      <c r="G281">
        <v>509</v>
      </c>
      <c r="H281">
        <f>Sales[[#This Row],[Turnover]]-Sales[[#This Row],[Cost]]</f>
        <v>738</v>
      </c>
      <c r="I281" s="3">
        <f>Sales[[#This Row],[Turnover]]*1000/Sales[[#This Row],[Quantity]]</f>
        <v>7942.6751592356686</v>
      </c>
      <c r="J281" s="5">
        <f>Sales[[#This Row],[Quantity]]/SUM(Sales[Quantity])</f>
        <v>2.8499285702616306E-4</v>
      </c>
    </row>
    <row r="282" spans="1:10" x14ac:dyDescent="0.25">
      <c r="A282" t="s">
        <v>29</v>
      </c>
      <c r="B282" t="s">
        <v>21</v>
      </c>
      <c r="C282" t="s">
        <v>2</v>
      </c>
      <c r="D282">
        <v>2020</v>
      </c>
      <c r="E282">
        <v>172</v>
      </c>
      <c r="F282">
        <v>1366</v>
      </c>
      <c r="G282">
        <v>554</v>
      </c>
      <c r="H282">
        <f>Sales[[#This Row],[Turnover]]-Sales[[#This Row],[Cost]]</f>
        <v>812</v>
      </c>
      <c r="I282" s="3">
        <f>Sales[[#This Row],[Turnover]]*1000/Sales[[#This Row],[Quantity]]</f>
        <v>7941.8604651162786</v>
      </c>
      <c r="J282" s="5">
        <f>Sales[[#This Row],[Quantity]]/SUM(Sales[Quantity])</f>
        <v>3.1222147393949074E-4</v>
      </c>
    </row>
    <row r="283" spans="1:10" x14ac:dyDescent="0.25">
      <c r="A283" t="s">
        <v>29</v>
      </c>
      <c r="B283" t="s">
        <v>21</v>
      </c>
      <c r="C283" t="s">
        <v>3</v>
      </c>
      <c r="D283">
        <v>2020</v>
      </c>
      <c r="E283">
        <v>174</v>
      </c>
      <c r="F283">
        <v>1404</v>
      </c>
      <c r="G283">
        <v>562</v>
      </c>
      <c r="H283">
        <f>Sales[[#This Row],[Turnover]]-Sales[[#This Row],[Cost]]</f>
        <v>842</v>
      </c>
      <c r="I283" s="3">
        <f>Sales[[#This Row],[Turnover]]*1000/Sales[[#This Row],[Quantity]]</f>
        <v>8068.9655172413795</v>
      </c>
      <c r="J283" s="5">
        <f>Sales[[#This Row],[Quantity]]/SUM(Sales[Quantity])</f>
        <v>3.1585195619460111E-4</v>
      </c>
    </row>
    <row r="284" spans="1:10" x14ac:dyDescent="0.25">
      <c r="A284" t="s">
        <v>29</v>
      </c>
      <c r="B284" t="s">
        <v>21</v>
      </c>
      <c r="C284" t="s">
        <v>18</v>
      </c>
      <c r="D284">
        <v>2020</v>
      </c>
      <c r="E284">
        <v>185</v>
      </c>
      <c r="F284">
        <v>1482</v>
      </c>
      <c r="G284">
        <v>598</v>
      </c>
      <c r="H284">
        <f>Sales[[#This Row],[Turnover]]-Sales[[#This Row],[Cost]]</f>
        <v>884</v>
      </c>
      <c r="I284" s="3">
        <f>Sales[[#This Row],[Turnover]]*1000/Sales[[#This Row],[Quantity]]</f>
        <v>8010.8108108108108</v>
      </c>
      <c r="J284" s="5">
        <f>Sales[[#This Row],[Quantity]]/SUM(Sales[Quantity])</f>
        <v>3.358196085977081E-4</v>
      </c>
    </row>
    <row r="285" spans="1:10" x14ac:dyDescent="0.25">
      <c r="A285" t="s">
        <v>29</v>
      </c>
      <c r="B285" t="s">
        <v>21</v>
      </c>
      <c r="C285" t="s">
        <v>4</v>
      </c>
      <c r="D285">
        <v>2020</v>
      </c>
      <c r="E285">
        <v>143</v>
      </c>
      <c r="F285">
        <v>1149</v>
      </c>
      <c r="G285">
        <v>462</v>
      </c>
      <c r="H285">
        <f>Sales[[#This Row],[Turnover]]-Sales[[#This Row],[Cost]]</f>
        <v>687</v>
      </c>
      <c r="I285" s="3">
        <f>Sales[[#This Row],[Turnover]]*1000/Sales[[#This Row],[Quantity]]</f>
        <v>8034.9650349650346</v>
      </c>
      <c r="J285" s="5">
        <f>Sales[[#This Row],[Quantity]]/SUM(Sales[Quantity])</f>
        <v>2.5957948124039054E-4</v>
      </c>
    </row>
    <row r="286" spans="1:10" x14ac:dyDescent="0.25">
      <c r="A286" t="s">
        <v>29</v>
      </c>
      <c r="B286" t="s">
        <v>21</v>
      </c>
      <c r="C286" t="s">
        <v>19</v>
      </c>
      <c r="D286">
        <v>2020</v>
      </c>
      <c r="E286">
        <v>168</v>
      </c>
      <c r="F286">
        <v>1354</v>
      </c>
      <c r="G286">
        <v>543</v>
      </c>
      <c r="H286">
        <f>Sales[[#This Row],[Turnover]]-Sales[[#This Row],[Cost]]</f>
        <v>811</v>
      </c>
      <c r="I286" s="3">
        <f>Sales[[#This Row],[Turnover]]*1000/Sales[[#This Row],[Quantity]]</f>
        <v>8059.5238095238092</v>
      </c>
      <c r="J286" s="5">
        <f>Sales[[#This Row],[Quantity]]/SUM(Sales[Quantity])</f>
        <v>3.0496050942927004E-4</v>
      </c>
    </row>
    <row r="287" spans="1:10" x14ac:dyDescent="0.25">
      <c r="A287" t="s">
        <v>30</v>
      </c>
      <c r="B287" t="s">
        <v>21</v>
      </c>
      <c r="C287" t="s">
        <v>13</v>
      </c>
      <c r="D287">
        <v>2020</v>
      </c>
      <c r="E287">
        <v>165</v>
      </c>
      <c r="F287">
        <v>496</v>
      </c>
      <c r="G287">
        <v>254</v>
      </c>
      <c r="H287">
        <f>Sales[[#This Row],[Turnover]]-Sales[[#This Row],[Cost]]</f>
        <v>242</v>
      </c>
      <c r="I287" s="3">
        <f>Sales[[#This Row],[Turnover]]*1000/Sales[[#This Row],[Quantity]]</f>
        <v>3006.060606060606</v>
      </c>
      <c r="J287" s="5">
        <f>Sales[[#This Row],[Quantity]]/SUM(Sales[Quantity])</f>
        <v>2.9951478604660451E-4</v>
      </c>
    </row>
    <row r="288" spans="1:10" x14ac:dyDescent="0.25">
      <c r="A288" t="s">
        <v>30</v>
      </c>
      <c r="B288" t="s">
        <v>21</v>
      </c>
      <c r="C288" t="s">
        <v>16</v>
      </c>
      <c r="D288">
        <v>2020</v>
      </c>
      <c r="E288">
        <v>184</v>
      </c>
      <c r="F288">
        <v>548</v>
      </c>
      <c r="G288">
        <v>283</v>
      </c>
      <c r="H288">
        <f>Sales[[#This Row],[Turnover]]-Sales[[#This Row],[Cost]]</f>
        <v>265</v>
      </c>
      <c r="I288" s="3">
        <f>Sales[[#This Row],[Turnover]]*1000/Sales[[#This Row],[Quantity]]</f>
        <v>2978.2608695652175</v>
      </c>
      <c r="J288" s="5">
        <f>Sales[[#This Row],[Quantity]]/SUM(Sales[Quantity])</f>
        <v>3.3400436747015288E-4</v>
      </c>
    </row>
    <row r="289" spans="1:10" x14ac:dyDescent="0.25">
      <c r="A289" t="s">
        <v>30</v>
      </c>
      <c r="B289" t="s">
        <v>21</v>
      </c>
      <c r="C289" t="s">
        <v>1</v>
      </c>
      <c r="D289">
        <v>2020</v>
      </c>
      <c r="E289">
        <v>217</v>
      </c>
      <c r="F289">
        <v>644</v>
      </c>
      <c r="G289">
        <v>334</v>
      </c>
      <c r="H289">
        <f>Sales[[#This Row],[Turnover]]-Sales[[#This Row],[Cost]]</f>
        <v>310</v>
      </c>
      <c r="I289" s="3">
        <f>Sales[[#This Row],[Turnover]]*1000/Sales[[#This Row],[Quantity]]</f>
        <v>2967.7419354838707</v>
      </c>
      <c r="J289" s="5">
        <f>Sales[[#This Row],[Quantity]]/SUM(Sales[Quantity])</f>
        <v>3.9390732467947377E-4</v>
      </c>
    </row>
    <row r="290" spans="1:10" x14ac:dyDescent="0.25">
      <c r="A290" t="s">
        <v>30</v>
      </c>
      <c r="B290" t="s">
        <v>21</v>
      </c>
      <c r="C290" t="s">
        <v>17</v>
      </c>
      <c r="D290">
        <v>2020</v>
      </c>
      <c r="E290">
        <v>169</v>
      </c>
      <c r="F290">
        <v>507</v>
      </c>
      <c r="G290">
        <v>261</v>
      </c>
      <c r="H290">
        <f>Sales[[#This Row],[Turnover]]-Sales[[#This Row],[Cost]]</f>
        <v>246</v>
      </c>
      <c r="I290" s="3">
        <f>Sales[[#This Row],[Turnover]]*1000/Sales[[#This Row],[Quantity]]</f>
        <v>3000</v>
      </c>
      <c r="J290" s="5">
        <f>Sales[[#This Row],[Quantity]]/SUM(Sales[Quantity])</f>
        <v>3.067757505568252E-4</v>
      </c>
    </row>
    <row r="291" spans="1:10" x14ac:dyDescent="0.25">
      <c r="A291" t="s">
        <v>30</v>
      </c>
      <c r="B291" t="s">
        <v>21</v>
      </c>
      <c r="C291" t="s">
        <v>15</v>
      </c>
      <c r="D291">
        <v>2020</v>
      </c>
      <c r="E291">
        <v>157</v>
      </c>
      <c r="F291">
        <v>466</v>
      </c>
      <c r="G291">
        <v>242</v>
      </c>
      <c r="H291">
        <f>Sales[[#This Row],[Turnover]]-Sales[[#This Row],[Cost]]</f>
        <v>224</v>
      </c>
      <c r="I291" s="3">
        <f>Sales[[#This Row],[Turnover]]*1000/Sales[[#This Row],[Quantity]]</f>
        <v>2968.1528662420383</v>
      </c>
      <c r="J291" s="5">
        <f>Sales[[#This Row],[Quantity]]/SUM(Sales[Quantity])</f>
        <v>2.8499285702616306E-4</v>
      </c>
    </row>
    <row r="292" spans="1:10" x14ac:dyDescent="0.25">
      <c r="A292" t="s">
        <v>30</v>
      </c>
      <c r="B292" t="s">
        <v>21</v>
      </c>
      <c r="C292" t="s">
        <v>14</v>
      </c>
      <c r="D292">
        <v>2020</v>
      </c>
      <c r="E292">
        <v>259</v>
      </c>
      <c r="F292">
        <v>716</v>
      </c>
      <c r="G292">
        <v>399</v>
      </c>
      <c r="H292">
        <f>Sales[[#This Row],[Turnover]]-Sales[[#This Row],[Cost]]</f>
        <v>317</v>
      </c>
      <c r="I292" s="3">
        <f>Sales[[#This Row],[Turnover]]*1000/Sales[[#This Row],[Quantity]]</f>
        <v>2764.4787644787643</v>
      </c>
      <c r="J292" s="5">
        <f>Sales[[#This Row],[Quantity]]/SUM(Sales[Quantity])</f>
        <v>4.7014745203679132E-4</v>
      </c>
    </row>
    <row r="293" spans="1:10" x14ac:dyDescent="0.25">
      <c r="A293" t="s">
        <v>30</v>
      </c>
      <c r="B293" t="s">
        <v>21</v>
      </c>
      <c r="C293" t="s">
        <v>2</v>
      </c>
      <c r="D293">
        <v>2020</v>
      </c>
      <c r="E293">
        <v>236</v>
      </c>
      <c r="F293">
        <v>650</v>
      </c>
      <c r="G293">
        <v>363</v>
      </c>
      <c r="H293">
        <f>Sales[[#This Row],[Turnover]]-Sales[[#This Row],[Cost]]</f>
        <v>287</v>
      </c>
      <c r="I293" s="3">
        <f>Sales[[#This Row],[Turnover]]*1000/Sales[[#This Row],[Quantity]]</f>
        <v>2754.2372881355932</v>
      </c>
      <c r="J293" s="5">
        <f>Sales[[#This Row],[Quantity]]/SUM(Sales[Quantity])</f>
        <v>4.283969061030222E-4</v>
      </c>
    </row>
    <row r="294" spans="1:10" x14ac:dyDescent="0.25">
      <c r="A294" t="s">
        <v>30</v>
      </c>
      <c r="B294" t="s">
        <v>21</v>
      </c>
      <c r="C294" t="s">
        <v>3</v>
      </c>
      <c r="D294">
        <v>2020</v>
      </c>
      <c r="E294">
        <v>210</v>
      </c>
      <c r="F294">
        <v>576</v>
      </c>
      <c r="G294">
        <v>323</v>
      </c>
      <c r="H294">
        <f>Sales[[#This Row],[Turnover]]-Sales[[#This Row],[Cost]]</f>
        <v>253</v>
      </c>
      <c r="I294" s="3">
        <f>Sales[[#This Row],[Turnover]]*1000/Sales[[#This Row],[Quantity]]</f>
        <v>2742.8571428571427</v>
      </c>
      <c r="J294" s="5">
        <f>Sales[[#This Row],[Quantity]]/SUM(Sales[Quantity])</f>
        <v>3.8120063678658754E-4</v>
      </c>
    </row>
    <row r="295" spans="1:10" x14ac:dyDescent="0.25">
      <c r="A295" t="s">
        <v>30</v>
      </c>
      <c r="B295" t="s">
        <v>21</v>
      </c>
      <c r="C295" t="s">
        <v>18</v>
      </c>
      <c r="D295">
        <v>2020</v>
      </c>
      <c r="E295">
        <v>262</v>
      </c>
      <c r="F295">
        <v>727</v>
      </c>
      <c r="G295">
        <v>405</v>
      </c>
      <c r="H295">
        <f>Sales[[#This Row],[Turnover]]-Sales[[#This Row],[Cost]]</f>
        <v>322</v>
      </c>
      <c r="I295" s="3">
        <f>Sales[[#This Row],[Turnover]]*1000/Sales[[#This Row],[Quantity]]</f>
        <v>2774.8091603053435</v>
      </c>
      <c r="J295" s="5">
        <f>Sales[[#This Row],[Quantity]]/SUM(Sales[Quantity])</f>
        <v>4.7559317541945686E-4</v>
      </c>
    </row>
    <row r="296" spans="1:10" x14ac:dyDescent="0.25">
      <c r="A296" t="s">
        <v>30</v>
      </c>
      <c r="B296" t="s">
        <v>21</v>
      </c>
      <c r="C296" t="s">
        <v>4</v>
      </c>
      <c r="D296">
        <v>2020</v>
      </c>
      <c r="E296">
        <v>213</v>
      </c>
      <c r="F296">
        <v>587</v>
      </c>
      <c r="G296">
        <v>328</v>
      </c>
      <c r="H296">
        <f>Sales[[#This Row],[Turnover]]-Sales[[#This Row],[Cost]]</f>
        <v>259</v>
      </c>
      <c r="I296" s="3">
        <f>Sales[[#This Row],[Turnover]]*1000/Sales[[#This Row],[Quantity]]</f>
        <v>2755.868544600939</v>
      </c>
      <c r="J296" s="5">
        <f>Sales[[#This Row],[Quantity]]/SUM(Sales[Quantity])</f>
        <v>3.8664636016925308E-4</v>
      </c>
    </row>
    <row r="297" spans="1:10" x14ac:dyDescent="0.25">
      <c r="A297" t="s">
        <v>30</v>
      </c>
      <c r="B297" t="s">
        <v>21</v>
      </c>
      <c r="C297" t="s">
        <v>19</v>
      </c>
      <c r="D297">
        <v>2020</v>
      </c>
      <c r="E297">
        <v>165</v>
      </c>
      <c r="F297">
        <v>456</v>
      </c>
      <c r="G297">
        <v>255</v>
      </c>
      <c r="H297">
        <f>Sales[[#This Row],[Turnover]]-Sales[[#This Row],[Cost]]</f>
        <v>201</v>
      </c>
      <c r="I297" s="3">
        <f>Sales[[#This Row],[Turnover]]*1000/Sales[[#This Row],[Quantity]]</f>
        <v>2763.6363636363635</v>
      </c>
      <c r="J297" s="5">
        <f>Sales[[#This Row],[Quantity]]/SUM(Sales[Quantity])</f>
        <v>2.9951478604660451E-4</v>
      </c>
    </row>
    <row r="298" spans="1:10" x14ac:dyDescent="0.25">
      <c r="A298" t="s">
        <v>26</v>
      </c>
      <c r="B298" t="s">
        <v>21</v>
      </c>
      <c r="C298" t="s">
        <v>17</v>
      </c>
      <c r="D298">
        <v>2020</v>
      </c>
      <c r="E298">
        <v>282</v>
      </c>
      <c r="F298">
        <v>797</v>
      </c>
      <c r="G298">
        <v>342</v>
      </c>
      <c r="H298">
        <f>Sales[[#This Row],[Turnover]]-Sales[[#This Row],[Cost]]</f>
        <v>455</v>
      </c>
      <c r="I298" s="3">
        <f>Sales[[#This Row],[Turnover]]*1000/Sales[[#This Row],[Quantity]]</f>
        <v>2826.2411347517732</v>
      </c>
      <c r="J298" s="5">
        <f>Sales[[#This Row],[Quantity]]/SUM(Sales[Quantity])</f>
        <v>5.1189799797056045E-4</v>
      </c>
    </row>
    <row r="299" spans="1:10" x14ac:dyDescent="0.25">
      <c r="A299" t="s">
        <v>26</v>
      </c>
      <c r="B299" t="s">
        <v>21</v>
      </c>
      <c r="C299" t="s">
        <v>15</v>
      </c>
      <c r="D299">
        <v>2020</v>
      </c>
      <c r="E299">
        <v>324</v>
      </c>
      <c r="F299">
        <v>904</v>
      </c>
      <c r="G299">
        <v>393</v>
      </c>
      <c r="H299">
        <f>Sales[[#This Row],[Turnover]]-Sales[[#This Row],[Cost]]</f>
        <v>511</v>
      </c>
      <c r="I299" s="3">
        <f>Sales[[#This Row],[Turnover]]*1000/Sales[[#This Row],[Quantity]]</f>
        <v>2790.1234567901233</v>
      </c>
      <c r="J299" s="5">
        <f>Sales[[#This Row],[Quantity]]/SUM(Sales[Quantity])</f>
        <v>5.8813812532787794E-4</v>
      </c>
    </row>
    <row r="300" spans="1:10" x14ac:dyDescent="0.25">
      <c r="A300" t="s">
        <v>26</v>
      </c>
      <c r="B300" t="s">
        <v>21</v>
      </c>
      <c r="C300" t="s">
        <v>14</v>
      </c>
      <c r="D300">
        <v>2020</v>
      </c>
      <c r="E300">
        <v>283</v>
      </c>
      <c r="F300">
        <v>799</v>
      </c>
      <c r="G300">
        <v>343</v>
      </c>
      <c r="H300">
        <f>Sales[[#This Row],[Turnover]]-Sales[[#This Row],[Cost]]</f>
        <v>456</v>
      </c>
      <c r="I300" s="3">
        <f>Sales[[#This Row],[Turnover]]*1000/Sales[[#This Row],[Quantity]]</f>
        <v>2823.321554770318</v>
      </c>
      <c r="J300" s="5">
        <f>Sales[[#This Row],[Quantity]]/SUM(Sales[Quantity])</f>
        <v>5.1371323909811561E-4</v>
      </c>
    </row>
    <row r="301" spans="1:10" x14ac:dyDescent="0.25">
      <c r="A301" t="s">
        <v>26</v>
      </c>
      <c r="B301" t="s">
        <v>21</v>
      </c>
      <c r="C301" t="s">
        <v>2</v>
      </c>
      <c r="D301">
        <v>2020</v>
      </c>
      <c r="E301">
        <v>284</v>
      </c>
      <c r="F301">
        <v>789</v>
      </c>
      <c r="G301">
        <v>344</v>
      </c>
      <c r="H301">
        <f>Sales[[#This Row],[Turnover]]-Sales[[#This Row],[Cost]]</f>
        <v>445</v>
      </c>
      <c r="I301" s="3">
        <f>Sales[[#This Row],[Turnover]]*1000/Sales[[#This Row],[Quantity]]</f>
        <v>2778.1690140845071</v>
      </c>
      <c r="J301" s="5">
        <f>Sales[[#This Row],[Quantity]]/SUM(Sales[Quantity])</f>
        <v>5.1552848022567077E-4</v>
      </c>
    </row>
    <row r="302" spans="1:10" x14ac:dyDescent="0.25">
      <c r="A302" t="s">
        <v>26</v>
      </c>
      <c r="B302" t="s">
        <v>21</v>
      </c>
      <c r="C302" t="s">
        <v>3</v>
      </c>
      <c r="D302">
        <v>2020</v>
      </c>
      <c r="E302">
        <v>316</v>
      </c>
      <c r="F302">
        <v>883</v>
      </c>
      <c r="G302">
        <v>382</v>
      </c>
      <c r="H302">
        <f>Sales[[#This Row],[Turnover]]-Sales[[#This Row],[Cost]]</f>
        <v>501</v>
      </c>
      <c r="I302" s="3">
        <f>Sales[[#This Row],[Turnover]]*1000/Sales[[#This Row],[Quantity]]</f>
        <v>2794.3037974683543</v>
      </c>
      <c r="J302" s="5">
        <f>Sales[[#This Row],[Quantity]]/SUM(Sales[Quantity])</f>
        <v>5.7361619630743655E-4</v>
      </c>
    </row>
    <row r="303" spans="1:10" x14ac:dyDescent="0.25">
      <c r="A303" t="s">
        <v>26</v>
      </c>
      <c r="B303" t="s">
        <v>21</v>
      </c>
      <c r="C303" t="s">
        <v>18</v>
      </c>
      <c r="D303">
        <v>2020</v>
      </c>
      <c r="E303">
        <v>315</v>
      </c>
      <c r="F303">
        <v>886</v>
      </c>
      <c r="G303">
        <v>382</v>
      </c>
      <c r="H303">
        <f>Sales[[#This Row],[Turnover]]-Sales[[#This Row],[Cost]]</f>
        <v>504</v>
      </c>
      <c r="I303" s="3">
        <f>Sales[[#This Row],[Turnover]]*1000/Sales[[#This Row],[Quantity]]</f>
        <v>2812.6984126984125</v>
      </c>
      <c r="J303" s="5">
        <f>Sales[[#This Row],[Quantity]]/SUM(Sales[Quantity])</f>
        <v>5.7180095517988128E-4</v>
      </c>
    </row>
    <row r="304" spans="1:10" x14ac:dyDescent="0.25">
      <c r="A304" t="s">
        <v>26</v>
      </c>
      <c r="B304" t="s">
        <v>21</v>
      </c>
      <c r="C304" t="s">
        <v>4</v>
      </c>
      <c r="D304">
        <v>2020</v>
      </c>
      <c r="E304">
        <v>272</v>
      </c>
      <c r="F304">
        <v>766</v>
      </c>
      <c r="G304">
        <v>329</v>
      </c>
      <c r="H304">
        <f>Sales[[#This Row],[Turnover]]-Sales[[#This Row],[Cost]]</f>
        <v>437</v>
      </c>
      <c r="I304" s="3">
        <f>Sales[[#This Row],[Turnover]]*1000/Sales[[#This Row],[Quantity]]</f>
        <v>2816.1764705882351</v>
      </c>
      <c r="J304" s="5">
        <f>Sales[[#This Row],[Quantity]]/SUM(Sales[Quantity])</f>
        <v>4.9374558669500863E-4</v>
      </c>
    </row>
    <row r="305" spans="1:10" x14ac:dyDescent="0.25">
      <c r="A305" t="s">
        <v>26</v>
      </c>
      <c r="B305" t="s">
        <v>21</v>
      </c>
      <c r="C305" t="s">
        <v>19</v>
      </c>
      <c r="D305">
        <v>2020</v>
      </c>
      <c r="E305">
        <v>274</v>
      </c>
      <c r="F305">
        <v>770</v>
      </c>
      <c r="G305">
        <v>332</v>
      </c>
      <c r="H305">
        <f>Sales[[#This Row],[Turnover]]-Sales[[#This Row],[Cost]]</f>
        <v>438</v>
      </c>
      <c r="I305" s="3">
        <f>Sales[[#This Row],[Turnover]]*1000/Sales[[#This Row],[Quantity]]</f>
        <v>2810.2189781021898</v>
      </c>
      <c r="J305" s="5">
        <f>Sales[[#This Row],[Quantity]]/SUM(Sales[Quantity])</f>
        <v>4.9737606895011895E-4</v>
      </c>
    </row>
    <row r="306" spans="1:10" x14ac:dyDescent="0.25">
      <c r="A306" t="s">
        <v>27</v>
      </c>
      <c r="B306" t="s">
        <v>20</v>
      </c>
      <c r="C306" t="s">
        <v>12</v>
      </c>
      <c r="D306">
        <v>2018</v>
      </c>
      <c r="E306">
        <v>431</v>
      </c>
      <c r="F306">
        <v>652</v>
      </c>
      <c r="G306">
        <v>251</v>
      </c>
      <c r="H306">
        <f>Sales[[#This Row],[Turnover]]-Sales[[#This Row],[Cost]]</f>
        <v>401</v>
      </c>
      <c r="I306" s="3">
        <f>Sales[[#This Row],[Turnover]]*1000/Sales[[#This Row],[Quantity]]</f>
        <v>1512.7610208816704</v>
      </c>
      <c r="J306" s="5">
        <f>Sales[[#This Row],[Quantity]]/SUM(Sales[Quantity])</f>
        <v>7.8236892597628206E-4</v>
      </c>
    </row>
    <row r="307" spans="1:10" x14ac:dyDescent="0.25">
      <c r="A307" t="s">
        <v>27</v>
      </c>
      <c r="B307" t="s">
        <v>20</v>
      </c>
      <c r="C307" t="s">
        <v>13</v>
      </c>
      <c r="D307">
        <v>2018</v>
      </c>
      <c r="E307">
        <v>491</v>
      </c>
      <c r="F307">
        <v>735</v>
      </c>
      <c r="G307">
        <v>286</v>
      </c>
      <c r="H307">
        <f>Sales[[#This Row],[Turnover]]-Sales[[#This Row],[Cost]]</f>
        <v>449</v>
      </c>
      <c r="I307" s="3">
        <f>Sales[[#This Row],[Turnover]]*1000/Sales[[#This Row],[Quantity]]</f>
        <v>1496.9450101832995</v>
      </c>
      <c r="J307" s="5">
        <f>Sales[[#This Row],[Quantity]]/SUM(Sales[Quantity])</f>
        <v>8.9128339362959277E-4</v>
      </c>
    </row>
    <row r="308" spans="1:10" x14ac:dyDescent="0.25">
      <c r="A308" t="s">
        <v>27</v>
      </c>
      <c r="B308" t="s">
        <v>20</v>
      </c>
      <c r="C308" t="s">
        <v>16</v>
      </c>
      <c r="D308">
        <v>2018</v>
      </c>
      <c r="E308">
        <v>670</v>
      </c>
      <c r="F308">
        <v>1012</v>
      </c>
      <c r="G308">
        <v>390</v>
      </c>
      <c r="H308">
        <f>Sales[[#This Row],[Turnover]]-Sales[[#This Row],[Cost]]</f>
        <v>622</v>
      </c>
      <c r="I308" s="3">
        <f>Sales[[#This Row],[Turnover]]*1000/Sales[[#This Row],[Quantity]]</f>
        <v>1510.4477611940299</v>
      </c>
      <c r="J308" s="5">
        <f>Sales[[#This Row],[Quantity]]/SUM(Sales[Quantity])</f>
        <v>1.2162115554619699E-3</v>
      </c>
    </row>
    <row r="309" spans="1:10" x14ac:dyDescent="0.25">
      <c r="A309" t="s">
        <v>27</v>
      </c>
      <c r="B309" t="s">
        <v>20</v>
      </c>
      <c r="C309" t="s">
        <v>1</v>
      </c>
      <c r="D309">
        <v>2018</v>
      </c>
      <c r="E309">
        <v>748</v>
      </c>
      <c r="F309">
        <v>1117</v>
      </c>
      <c r="G309">
        <v>435</v>
      </c>
      <c r="H309">
        <f>Sales[[#This Row],[Turnover]]-Sales[[#This Row],[Cost]]</f>
        <v>682</v>
      </c>
      <c r="I309" s="3">
        <f>Sales[[#This Row],[Turnover]]*1000/Sales[[#This Row],[Quantity]]</f>
        <v>1493.3155080213903</v>
      </c>
      <c r="J309" s="5">
        <f>Sales[[#This Row],[Quantity]]/SUM(Sales[Quantity])</f>
        <v>1.3578003634112737E-3</v>
      </c>
    </row>
    <row r="310" spans="1:10" x14ac:dyDescent="0.25">
      <c r="A310" t="s">
        <v>27</v>
      </c>
      <c r="B310" t="s">
        <v>20</v>
      </c>
      <c r="C310" t="s">
        <v>17</v>
      </c>
      <c r="D310">
        <v>2018</v>
      </c>
      <c r="E310">
        <v>615</v>
      </c>
      <c r="F310">
        <v>929</v>
      </c>
      <c r="G310">
        <v>358</v>
      </c>
      <c r="H310">
        <f>Sales[[#This Row],[Turnover]]-Sales[[#This Row],[Cost]]</f>
        <v>571</v>
      </c>
      <c r="I310" s="3">
        <f>Sales[[#This Row],[Turnover]]*1000/Sales[[#This Row],[Quantity]]</f>
        <v>1510.5691056910568</v>
      </c>
      <c r="J310" s="5">
        <f>Sales[[#This Row],[Quantity]]/SUM(Sales[Quantity])</f>
        <v>1.1163732934464351E-3</v>
      </c>
    </row>
    <row r="311" spans="1:10" x14ac:dyDescent="0.25">
      <c r="A311" t="s">
        <v>27</v>
      </c>
      <c r="B311" t="s">
        <v>20</v>
      </c>
      <c r="C311" t="s">
        <v>15</v>
      </c>
      <c r="D311">
        <v>2018</v>
      </c>
      <c r="E311">
        <v>584</v>
      </c>
      <c r="F311">
        <v>875</v>
      </c>
      <c r="G311">
        <v>340</v>
      </c>
      <c r="H311">
        <f>Sales[[#This Row],[Turnover]]-Sales[[#This Row],[Cost]]</f>
        <v>535</v>
      </c>
      <c r="I311" s="3">
        <f>Sales[[#This Row],[Turnover]]*1000/Sales[[#This Row],[Quantity]]</f>
        <v>1498.2876712328766</v>
      </c>
      <c r="J311" s="5">
        <f>Sales[[#This Row],[Quantity]]/SUM(Sales[Quantity])</f>
        <v>1.0601008184922243E-3</v>
      </c>
    </row>
    <row r="312" spans="1:10" x14ac:dyDescent="0.25">
      <c r="A312" t="s">
        <v>27</v>
      </c>
      <c r="B312" t="s">
        <v>20</v>
      </c>
      <c r="C312" t="s">
        <v>14</v>
      </c>
      <c r="D312">
        <v>2018</v>
      </c>
      <c r="E312">
        <v>720</v>
      </c>
      <c r="F312">
        <v>649</v>
      </c>
      <c r="G312">
        <v>419</v>
      </c>
      <c r="H312">
        <f>Sales[[#This Row],[Turnover]]-Sales[[#This Row],[Cost]]</f>
        <v>230</v>
      </c>
      <c r="I312" s="3">
        <f>Sales[[#This Row],[Turnover]]*1000/Sales[[#This Row],[Quantity]]</f>
        <v>901.38888888888891</v>
      </c>
      <c r="J312" s="5">
        <f>Sales[[#This Row],[Quantity]]/SUM(Sales[Quantity])</f>
        <v>1.3069736118397287E-3</v>
      </c>
    </row>
    <row r="313" spans="1:10" x14ac:dyDescent="0.25">
      <c r="A313" t="s">
        <v>27</v>
      </c>
      <c r="B313" t="s">
        <v>20</v>
      </c>
      <c r="C313" t="s">
        <v>2</v>
      </c>
      <c r="D313">
        <v>2018</v>
      </c>
      <c r="E313">
        <v>720</v>
      </c>
      <c r="F313">
        <v>643</v>
      </c>
      <c r="G313">
        <v>419</v>
      </c>
      <c r="H313">
        <f>Sales[[#This Row],[Turnover]]-Sales[[#This Row],[Cost]]</f>
        <v>224</v>
      </c>
      <c r="I313" s="3">
        <f>Sales[[#This Row],[Turnover]]*1000/Sales[[#This Row],[Quantity]]</f>
        <v>893.05555555555554</v>
      </c>
      <c r="J313" s="5">
        <f>Sales[[#This Row],[Quantity]]/SUM(Sales[Quantity])</f>
        <v>1.3069736118397287E-3</v>
      </c>
    </row>
    <row r="314" spans="1:10" x14ac:dyDescent="0.25">
      <c r="A314" t="s">
        <v>27</v>
      </c>
      <c r="B314" t="s">
        <v>20</v>
      </c>
      <c r="C314" t="s">
        <v>3</v>
      </c>
      <c r="D314">
        <v>2018</v>
      </c>
      <c r="E314">
        <v>723</v>
      </c>
      <c r="F314">
        <v>650</v>
      </c>
      <c r="G314">
        <v>421</v>
      </c>
      <c r="H314">
        <f>Sales[[#This Row],[Turnover]]-Sales[[#This Row],[Cost]]</f>
        <v>229</v>
      </c>
      <c r="I314" s="3">
        <f>Sales[[#This Row],[Turnover]]*1000/Sales[[#This Row],[Quantity]]</f>
        <v>899.03181189488248</v>
      </c>
      <c r="J314" s="5">
        <f>Sales[[#This Row],[Quantity]]/SUM(Sales[Quantity])</f>
        <v>1.3124193352223943E-3</v>
      </c>
    </row>
    <row r="315" spans="1:10" x14ac:dyDescent="0.25">
      <c r="A315" t="s">
        <v>27</v>
      </c>
      <c r="B315" t="s">
        <v>20</v>
      </c>
      <c r="C315" t="s">
        <v>18</v>
      </c>
      <c r="D315">
        <v>2018</v>
      </c>
      <c r="E315">
        <v>606</v>
      </c>
      <c r="F315">
        <v>542</v>
      </c>
      <c r="G315">
        <v>353</v>
      </c>
      <c r="H315">
        <f>Sales[[#This Row],[Turnover]]-Sales[[#This Row],[Cost]]</f>
        <v>189</v>
      </c>
      <c r="I315" s="3">
        <f>Sales[[#This Row],[Turnover]]*1000/Sales[[#This Row],[Quantity]]</f>
        <v>894.38943894389433</v>
      </c>
      <c r="J315" s="5">
        <f>Sales[[#This Row],[Quantity]]/SUM(Sales[Quantity])</f>
        <v>1.1000361232984383E-3</v>
      </c>
    </row>
    <row r="316" spans="1:10" x14ac:dyDescent="0.25">
      <c r="A316" t="s">
        <v>27</v>
      </c>
      <c r="B316" t="s">
        <v>20</v>
      </c>
      <c r="C316" t="s">
        <v>4</v>
      </c>
      <c r="D316">
        <v>2018</v>
      </c>
      <c r="E316">
        <v>571</v>
      </c>
      <c r="F316">
        <v>510</v>
      </c>
      <c r="G316">
        <v>333</v>
      </c>
      <c r="H316">
        <f>Sales[[#This Row],[Turnover]]-Sales[[#This Row],[Cost]]</f>
        <v>177</v>
      </c>
      <c r="I316" s="3">
        <f>Sales[[#This Row],[Turnover]]*1000/Sales[[#This Row],[Quantity]]</f>
        <v>893.1698774080561</v>
      </c>
      <c r="J316" s="5">
        <f>Sales[[#This Row],[Quantity]]/SUM(Sales[Quantity])</f>
        <v>1.0365026838340071E-3</v>
      </c>
    </row>
    <row r="317" spans="1:10" x14ac:dyDescent="0.25">
      <c r="A317" t="s">
        <v>27</v>
      </c>
      <c r="B317" t="s">
        <v>20</v>
      </c>
      <c r="C317" t="s">
        <v>19</v>
      </c>
      <c r="D317">
        <v>2018</v>
      </c>
      <c r="E317">
        <v>1013</v>
      </c>
      <c r="F317">
        <v>704</v>
      </c>
      <c r="G317">
        <v>589</v>
      </c>
      <c r="H317">
        <f>Sales[[#This Row],[Turnover]]-Sales[[#This Row],[Cost]]</f>
        <v>115</v>
      </c>
      <c r="I317" s="3">
        <f>Sales[[#This Row],[Turnover]]*1000/Sales[[#This Row],[Quantity]]</f>
        <v>694.96544916090818</v>
      </c>
      <c r="J317" s="5">
        <f>Sales[[#This Row],[Quantity]]/SUM(Sales[Quantity])</f>
        <v>1.8388392622133961E-3</v>
      </c>
    </row>
    <row r="318" spans="1:10" x14ac:dyDescent="0.25">
      <c r="A318" t="s">
        <v>28</v>
      </c>
      <c r="B318" t="s">
        <v>20</v>
      </c>
      <c r="C318" t="s">
        <v>12</v>
      </c>
      <c r="D318">
        <v>2018</v>
      </c>
      <c r="E318">
        <v>291</v>
      </c>
      <c r="F318">
        <v>513</v>
      </c>
      <c r="G318">
        <v>0</v>
      </c>
      <c r="H318">
        <f>Sales[[#This Row],[Turnover]]-Sales[[#This Row],[Cost]]</f>
        <v>513</v>
      </c>
      <c r="I318" s="3">
        <f>Sales[[#This Row],[Turnover]]*1000/Sales[[#This Row],[Quantity]]</f>
        <v>1762.8865979381444</v>
      </c>
      <c r="J318" s="5">
        <f>Sales[[#This Row],[Quantity]]/SUM(Sales[Quantity])</f>
        <v>5.28235168118557E-4</v>
      </c>
    </row>
    <row r="319" spans="1:10" x14ac:dyDescent="0.25">
      <c r="A319" t="s">
        <v>28</v>
      </c>
      <c r="B319" t="s">
        <v>20</v>
      </c>
      <c r="C319" t="s">
        <v>13</v>
      </c>
      <c r="D319">
        <v>2018</v>
      </c>
      <c r="E319">
        <v>395</v>
      </c>
      <c r="F319">
        <v>691</v>
      </c>
      <c r="G319">
        <v>0</v>
      </c>
      <c r="H319">
        <f>Sales[[#This Row],[Turnover]]-Sales[[#This Row],[Cost]]</f>
        <v>691</v>
      </c>
      <c r="I319" s="3">
        <f>Sales[[#This Row],[Turnover]]*1000/Sales[[#This Row],[Quantity]]</f>
        <v>1749.367088607595</v>
      </c>
      <c r="J319" s="5">
        <f>Sales[[#This Row],[Quantity]]/SUM(Sales[Quantity])</f>
        <v>7.1702024538429564E-4</v>
      </c>
    </row>
    <row r="320" spans="1:10" x14ac:dyDescent="0.25">
      <c r="A320" t="s">
        <v>28</v>
      </c>
      <c r="B320" t="s">
        <v>20</v>
      </c>
      <c r="C320" t="s">
        <v>16</v>
      </c>
      <c r="D320">
        <v>2018</v>
      </c>
      <c r="E320">
        <v>493</v>
      </c>
      <c r="F320">
        <v>859</v>
      </c>
      <c r="G320">
        <v>0</v>
      </c>
      <c r="H320">
        <f>Sales[[#This Row],[Turnover]]-Sales[[#This Row],[Cost]]</f>
        <v>859</v>
      </c>
      <c r="I320" s="3">
        <f>Sales[[#This Row],[Turnover]]*1000/Sales[[#This Row],[Quantity]]</f>
        <v>1742.393509127789</v>
      </c>
      <c r="J320" s="5">
        <f>Sales[[#This Row],[Quantity]]/SUM(Sales[Quantity])</f>
        <v>8.9491387588470309E-4</v>
      </c>
    </row>
    <row r="321" spans="1:10" x14ac:dyDescent="0.25">
      <c r="A321" t="s">
        <v>28</v>
      </c>
      <c r="B321" t="s">
        <v>20</v>
      </c>
      <c r="C321" t="s">
        <v>1</v>
      </c>
      <c r="D321">
        <v>2018</v>
      </c>
      <c r="E321">
        <v>425</v>
      </c>
      <c r="F321">
        <v>737</v>
      </c>
      <c r="G321">
        <v>0</v>
      </c>
      <c r="H321">
        <f>Sales[[#This Row],[Turnover]]-Sales[[#This Row],[Cost]]</f>
        <v>737</v>
      </c>
      <c r="I321" s="3">
        <f>Sales[[#This Row],[Turnover]]*1000/Sales[[#This Row],[Quantity]]</f>
        <v>1734.1176470588234</v>
      </c>
      <c r="J321" s="5">
        <f>Sales[[#This Row],[Quantity]]/SUM(Sales[Quantity])</f>
        <v>7.7147747921095099E-4</v>
      </c>
    </row>
    <row r="322" spans="1:10" x14ac:dyDescent="0.25">
      <c r="A322" t="s">
        <v>28</v>
      </c>
      <c r="B322" t="s">
        <v>20</v>
      </c>
      <c r="C322" t="s">
        <v>17</v>
      </c>
      <c r="D322">
        <v>2018</v>
      </c>
      <c r="E322">
        <v>344</v>
      </c>
      <c r="F322">
        <v>600</v>
      </c>
      <c r="G322">
        <v>0</v>
      </c>
      <c r="H322">
        <f>Sales[[#This Row],[Turnover]]-Sales[[#This Row],[Cost]]</f>
        <v>600</v>
      </c>
      <c r="I322" s="3">
        <f>Sales[[#This Row],[Turnover]]*1000/Sales[[#This Row],[Quantity]]</f>
        <v>1744.1860465116279</v>
      </c>
      <c r="J322" s="5">
        <f>Sales[[#This Row],[Quantity]]/SUM(Sales[Quantity])</f>
        <v>6.2444294787898148E-4</v>
      </c>
    </row>
    <row r="323" spans="1:10" x14ac:dyDescent="0.25">
      <c r="A323" t="s">
        <v>28</v>
      </c>
      <c r="B323" t="s">
        <v>20</v>
      </c>
      <c r="C323" t="s">
        <v>15</v>
      </c>
      <c r="D323">
        <v>2018</v>
      </c>
      <c r="E323">
        <v>354</v>
      </c>
      <c r="F323">
        <v>617</v>
      </c>
      <c r="G323">
        <v>0</v>
      </c>
      <c r="H323">
        <f>Sales[[#This Row],[Turnover]]-Sales[[#This Row],[Cost]]</f>
        <v>617</v>
      </c>
      <c r="I323" s="3">
        <f>Sales[[#This Row],[Turnover]]*1000/Sales[[#This Row],[Quantity]]</f>
        <v>1742.9378531073446</v>
      </c>
      <c r="J323" s="5">
        <f>Sales[[#This Row],[Quantity]]/SUM(Sales[Quantity])</f>
        <v>6.425953591545333E-4</v>
      </c>
    </row>
    <row r="324" spans="1:10" x14ac:dyDescent="0.25">
      <c r="A324" t="s">
        <v>28</v>
      </c>
      <c r="B324" t="s">
        <v>20</v>
      </c>
      <c r="C324" t="s">
        <v>14</v>
      </c>
      <c r="D324">
        <v>2018</v>
      </c>
      <c r="E324">
        <v>626</v>
      </c>
      <c r="F324">
        <v>745</v>
      </c>
      <c r="G324">
        <v>377</v>
      </c>
      <c r="H324">
        <f>Sales[[#This Row],[Turnover]]-Sales[[#This Row],[Cost]]</f>
        <v>368</v>
      </c>
      <c r="I324" s="3">
        <f>Sales[[#This Row],[Turnover]]*1000/Sales[[#This Row],[Quantity]]</f>
        <v>1190.0958466453674</v>
      </c>
      <c r="J324" s="5">
        <f>Sales[[#This Row],[Quantity]]/SUM(Sales[Quantity])</f>
        <v>1.1363409458495419E-3</v>
      </c>
    </row>
    <row r="325" spans="1:10" x14ac:dyDescent="0.25">
      <c r="A325" t="s">
        <v>28</v>
      </c>
      <c r="B325" t="s">
        <v>20</v>
      </c>
      <c r="C325" t="s">
        <v>2</v>
      </c>
      <c r="D325">
        <v>2018</v>
      </c>
      <c r="E325">
        <v>650</v>
      </c>
      <c r="F325">
        <v>781</v>
      </c>
      <c r="G325">
        <v>391</v>
      </c>
      <c r="H325">
        <f>Sales[[#This Row],[Turnover]]-Sales[[#This Row],[Cost]]</f>
        <v>390</v>
      </c>
      <c r="I325" s="3">
        <f>Sales[[#This Row],[Turnover]]*1000/Sales[[#This Row],[Quantity]]</f>
        <v>1201.5384615384614</v>
      </c>
      <c r="J325" s="5">
        <f>Sales[[#This Row],[Quantity]]/SUM(Sales[Quantity])</f>
        <v>1.1799067329108662E-3</v>
      </c>
    </row>
    <row r="326" spans="1:10" x14ac:dyDescent="0.25">
      <c r="A326" t="s">
        <v>28</v>
      </c>
      <c r="B326" t="s">
        <v>20</v>
      </c>
      <c r="C326" t="s">
        <v>3</v>
      </c>
      <c r="D326">
        <v>2018</v>
      </c>
      <c r="E326">
        <v>601</v>
      </c>
      <c r="F326">
        <v>722</v>
      </c>
      <c r="G326">
        <v>362</v>
      </c>
      <c r="H326">
        <f>Sales[[#This Row],[Turnover]]-Sales[[#This Row],[Cost]]</f>
        <v>360</v>
      </c>
      <c r="I326" s="3">
        <f>Sales[[#This Row],[Turnover]]*1000/Sales[[#This Row],[Quantity]]</f>
        <v>1201.3311148086523</v>
      </c>
      <c r="J326" s="5">
        <f>Sales[[#This Row],[Quantity]]/SUM(Sales[Quantity])</f>
        <v>1.0909599176606624E-3</v>
      </c>
    </row>
    <row r="327" spans="1:10" x14ac:dyDescent="0.25">
      <c r="A327" t="s">
        <v>28</v>
      </c>
      <c r="B327" t="s">
        <v>20</v>
      </c>
      <c r="C327" t="s">
        <v>18</v>
      </c>
      <c r="D327">
        <v>2018</v>
      </c>
      <c r="E327">
        <v>576</v>
      </c>
      <c r="F327">
        <v>688</v>
      </c>
      <c r="G327">
        <v>347</v>
      </c>
      <c r="H327">
        <f>Sales[[#This Row],[Turnover]]-Sales[[#This Row],[Cost]]</f>
        <v>341</v>
      </c>
      <c r="I327" s="3">
        <f>Sales[[#This Row],[Turnover]]*1000/Sales[[#This Row],[Quantity]]</f>
        <v>1194.4444444444443</v>
      </c>
      <c r="J327" s="5">
        <f>Sales[[#This Row],[Quantity]]/SUM(Sales[Quantity])</f>
        <v>1.045578889471783E-3</v>
      </c>
    </row>
    <row r="328" spans="1:10" x14ac:dyDescent="0.25">
      <c r="A328" t="s">
        <v>28</v>
      </c>
      <c r="B328" t="s">
        <v>20</v>
      </c>
      <c r="C328" t="s">
        <v>4</v>
      </c>
      <c r="D328">
        <v>2018</v>
      </c>
      <c r="E328">
        <v>469</v>
      </c>
      <c r="F328">
        <v>564</v>
      </c>
      <c r="G328">
        <v>282</v>
      </c>
      <c r="H328">
        <f>Sales[[#This Row],[Turnover]]-Sales[[#This Row],[Cost]]</f>
        <v>282</v>
      </c>
      <c r="I328" s="3">
        <f>Sales[[#This Row],[Turnover]]*1000/Sales[[#This Row],[Quantity]]</f>
        <v>1202.5586353944564</v>
      </c>
      <c r="J328" s="5">
        <f>Sales[[#This Row],[Quantity]]/SUM(Sales[Quantity])</f>
        <v>8.5134808882337881E-4</v>
      </c>
    </row>
    <row r="329" spans="1:10" x14ac:dyDescent="0.25">
      <c r="A329" t="s">
        <v>28</v>
      </c>
      <c r="B329" t="s">
        <v>20</v>
      </c>
      <c r="C329" t="s">
        <v>19</v>
      </c>
      <c r="D329">
        <v>2018</v>
      </c>
      <c r="E329">
        <v>652</v>
      </c>
      <c r="F329">
        <v>519</v>
      </c>
      <c r="G329">
        <v>393</v>
      </c>
      <c r="H329">
        <f>Sales[[#This Row],[Turnover]]-Sales[[#This Row],[Cost]]</f>
        <v>126</v>
      </c>
      <c r="I329" s="3">
        <f>Sales[[#This Row],[Turnover]]*1000/Sales[[#This Row],[Quantity]]</f>
        <v>796.01226993865032</v>
      </c>
      <c r="J329" s="5">
        <f>Sales[[#This Row],[Quantity]]/SUM(Sales[Quantity])</f>
        <v>1.1835372151659765E-3</v>
      </c>
    </row>
    <row r="330" spans="1:10" x14ac:dyDescent="0.25">
      <c r="A330" t="s">
        <v>30</v>
      </c>
      <c r="B330" t="s">
        <v>20</v>
      </c>
      <c r="C330" t="s">
        <v>12</v>
      </c>
      <c r="D330">
        <v>2018</v>
      </c>
      <c r="E330">
        <v>696</v>
      </c>
      <c r="F330">
        <v>1368</v>
      </c>
      <c r="G330">
        <v>843</v>
      </c>
      <c r="H330">
        <f>Sales[[#This Row],[Turnover]]-Sales[[#This Row],[Cost]]</f>
        <v>525</v>
      </c>
      <c r="I330" s="3">
        <f>Sales[[#This Row],[Turnover]]*1000/Sales[[#This Row],[Quantity]]</f>
        <v>1965.5172413793102</v>
      </c>
      <c r="J330" s="5">
        <f>Sales[[#This Row],[Quantity]]/SUM(Sales[Quantity])</f>
        <v>1.2634078247784045E-3</v>
      </c>
    </row>
    <row r="331" spans="1:10" x14ac:dyDescent="0.25">
      <c r="A331" t="s">
        <v>30</v>
      </c>
      <c r="B331" t="s">
        <v>20</v>
      </c>
      <c r="C331" t="s">
        <v>13</v>
      </c>
      <c r="D331">
        <v>2018</v>
      </c>
      <c r="E331">
        <v>750</v>
      </c>
      <c r="F331">
        <v>1465</v>
      </c>
      <c r="G331">
        <v>909</v>
      </c>
      <c r="H331">
        <f>Sales[[#This Row],[Turnover]]-Sales[[#This Row],[Cost]]</f>
        <v>556</v>
      </c>
      <c r="I331" s="3">
        <f>Sales[[#This Row],[Turnover]]*1000/Sales[[#This Row],[Quantity]]</f>
        <v>1953.3333333333333</v>
      </c>
      <c r="J331" s="5">
        <f>Sales[[#This Row],[Quantity]]/SUM(Sales[Quantity])</f>
        <v>1.361430845666384E-3</v>
      </c>
    </row>
    <row r="332" spans="1:10" x14ac:dyDescent="0.25">
      <c r="A332" t="s">
        <v>30</v>
      </c>
      <c r="B332" t="s">
        <v>20</v>
      </c>
      <c r="C332" t="s">
        <v>16</v>
      </c>
      <c r="D332">
        <v>2018</v>
      </c>
      <c r="E332">
        <v>628</v>
      </c>
      <c r="F332">
        <v>1228</v>
      </c>
      <c r="G332">
        <v>761</v>
      </c>
      <c r="H332">
        <f>Sales[[#This Row],[Turnover]]-Sales[[#This Row],[Cost]]</f>
        <v>467</v>
      </c>
      <c r="I332" s="3">
        <f>Sales[[#This Row],[Turnover]]*1000/Sales[[#This Row],[Quantity]]</f>
        <v>1955.4140127388534</v>
      </c>
      <c r="J332" s="5">
        <f>Sales[[#This Row],[Quantity]]/SUM(Sales[Quantity])</f>
        <v>1.1399714281046522E-3</v>
      </c>
    </row>
    <row r="333" spans="1:10" x14ac:dyDescent="0.25">
      <c r="A333" t="s">
        <v>30</v>
      </c>
      <c r="B333" t="s">
        <v>20</v>
      </c>
      <c r="C333" t="s">
        <v>1</v>
      </c>
      <c r="D333">
        <v>2018</v>
      </c>
      <c r="E333">
        <v>765</v>
      </c>
      <c r="F333">
        <v>1497</v>
      </c>
      <c r="G333">
        <v>927</v>
      </c>
      <c r="H333">
        <f>Sales[[#This Row],[Turnover]]-Sales[[#This Row],[Cost]]</f>
        <v>570</v>
      </c>
      <c r="I333" s="3">
        <f>Sales[[#This Row],[Turnover]]*1000/Sales[[#This Row],[Quantity]]</f>
        <v>1956.8627450980391</v>
      </c>
      <c r="J333" s="5">
        <f>Sales[[#This Row],[Quantity]]/SUM(Sales[Quantity])</f>
        <v>1.3886594625797117E-3</v>
      </c>
    </row>
    <row r="334" spans="1:10" x14ac:dyDescent="0.25">
      <c r="A334" t="s">
        <v>30</v>
      </c>
      <c r="B334" t="s">
        <v>20</v>
      </c>
      <c r="C334" t="s">
        <v>17</v>
      </c>
      <c r="D334">
        <v>2018</v>
      </c>
      <c r="E334">
        <v>682</v>
      </c>
      <c r="F334">
        <v>1343</v>
      </c>
      <c r="G334">
        <v>827</v>
      </c>
      <c r="H334">
        <f>Sales[[#This Row],[Turnover]]-Sales[[#This Row],[Cost]]</f>
        <v>516</v>
      </c>
      <c r="I334" s="3">
        <f>Sales[[#This Row],[Turnover]]*1000/Sales[[#This Row],[Quantity]]</f>
        <v>1969.2082111436951</v>
      </c>
      <c r="J334" s="5">
        <f>Sales[[#This Row],[Quantity]]/SUM(Sales[Quantity])</f>
        <v>1.237994448992632E-3</v>
      </c>
    </row>
    <row r="335" spans="1:10" x14ac:dyDescent="0.25">
      <c r="A335" t="s">
        <v>30</v>
      </c>
      <c r="B335" t="s">
        <v>20</v>
      </c>
      <c r="C335" t="s">
        <v>15</v>
      </c>
      <c r="D335">
        <v>2018</v>
      </c>
      <c r="E335">
        <v>696</v>
      </c>
      <c r="F335">
        <v>1348</v>
      </c>
      <c r="G335">
        <v>844</v>
      </c>
      <c r="H335">
        <f>Sales[[#This Row],[Turnover]]-Sales[[#This Row],[Cost]]</f>
        <v>504</v>
      </c>
      <c r="I335" s="3">
        <f>Sales[[#This Row],[Turnover]]*1000/Sales[[#This Row],[Quantity]]</f>
        <v>1936.7816091954023</v>
      </c>
      <c r="J335" s="5">
        <f>Sales[[#This Row],[Quantity]]/SUM(Sales[Quantity])</f>
        <v>1.2634078247784045E-3</v>
      </c>
    </row>
    <row r="336" spans="1:10" x14ac:dyDescent="0.25">
      <c r="A336" t="s">
        <v>30</v>
      </c>
      <c r="B336" t="s">
        <v>20</v>
      </c>
      <c r="C336" t="s">
        <v>14</v>
      </c>
      <c r="D336">
        <v>2018</v>
      </c>
      <c r="E336">
        <v>570</v>
      </c>
      <c r="F336">
        <v>1102</v>
      </c>
      <c r="G336">
        <v>691</v>
      </c>
      <c r="H336">
        <f>Sales[[#This Row],[Turnover]]-Sales[[#This Row],[Cost]]</f>
        <v>411</v>
      </c>
      <c r="I336" s="3">
        <f>Sales[[#This Row],[Turnover]]*1000/Sales[[#This Row],[Quantity]]</f>
        <v>1933.3333333333333</v>
      </c>
      <c r="J336" s="5">
        <f>Sales[[#This Row],[Quantity]]/SUM(Sales[Quantity])</f>
        <v>1.0346874427064519E-3</v>
      </c>
    </row>
    <row r="337" spans="1:10" x14ac:dyDescent="0.25">
      <c r="A337" t="s">
        <v>30</v>
      </c>
      <c r="B337" t="s">
        <v>20</v>
      </c>
      <c r="C337" t="s">
        <v>2</v>
      </c>
      <c r="D337">
        <v>2018</v>
      </c>
      <c r="E337">
        <v>906</v>
      </c>
      <c r="F337">
        <v>1360</v>
      </c>
      <c r="G337">
        <v>1098</v>
      </c>
      <c r="H337">
        <f>Sales[[#This Row],[Turnover]]-Sales[[#This Row],[Cost]]</f>
        <v>262</v>
      </c>
      <c r="I337" s="3">
        <f>Sales[[#This Row],[Turnover]]*1000/Sales[[#This Row],[Quantity]]</f>
        <v>1501.1037527593819</v>
      </c>
      <c r="J337" s="5">
        <f>Sales[[#This Row],[Quantity]]/SUM(Sales[Quantity])</f>
        <v>1.6446084615649921E-3</v>
      </c>
    </row>
    <row r="338" spans="1:10" x14ac:dyDescent="0.25">
      <c r="A338" t="s">
        <v>30</v>
      </c>
      <c r="B338" t="s">
        <v>20</v>
      </c>
      <c r="C338" t="s">
        <v>3</v>
      </c>
      <c r="D338">
        <v>2018</v>
      </c>
      <c r="E338">
        <v>945</v>
      </c>
      <c r="F338">
        <v>1420</v>
      </c>
      <c r="G338">
        <v>1145</v>
      </c>
      <c r="H338">
        <f>Sales[[#This Row],[Turnover]]-Sales[[#This Row],[Cost]]</f>
        <v>275</v>
      </c>
      <c r="I338" s="3">
        <f>Sales[[#This Row],[Turnover]]*1000/Sales[[#This Row],[Quantity]]</f>
        <v>1502.6455026455026</v>
      </c>
      <c r="J338" s="5">
        <f>Sales[[#This Row],[Quantity]]/SUM(Sales[Quantity])</f>
        <v>1.7154028655396441E-3</v>
      </c>
    </row>
    <row r="339" spans="1:10" x14ac:dyDescent="0.25">
      <c r="A339" t="s">
        <v>30</v>
      </c>
      <c r="B339" t="s">
        <v>20</v>
      </c>
      <c r="C339" t="s">
        <v>18</v>
      </c>
      <c r="D339">
        <v>2018</v>
      </c>
      <c r="E339">
        <v>912</v>
      </c>
      <c r="F339">
        <v>1366</v>
      </c>
      <c r="G339">
        <v>1105</v>
      </c>
      <c r="H339">
        <f>Sales[[#This Row],[Turnover]]-Sales[[#This Row],[Cost]]</f>
        <v>261</v>
      </c>
      <c r="I339" s="3">
        <f>Sales[[#This Row],[Turnover]]*1000/Sales[[#This Row],[Quantity]]</f>
        <v>1497.8070175438597</v>
      </c>
      <c r="J339" s="5">
        <f>Sales[[#This Row],[Quantity]]/SUM(Sales[Quantity])</f>
        <v>1.655499908330323E-3</v>
      </c>
    </row>
    <row r="340" spans="1:10" x14ac:dyDescent="0.25">
      <c r="A340" t="s">
        <v>30</v>
      </c>
      <c r="B340" t="s">
        <v>20</v>
      </c>
      <c r="C340" t="s">
        <v>4</v>
      </c>
      <c r="D340">
        <v>2018</v>
      </c>
      <c r="E340">
        <v>780</v>
      </c>
      <c r="F340">
        <v>1179</v>
      </c>
      <c r="G340">
        <v>945</v>
      </c>
      <c r="H340">
        <f>Sales[[#This Row],[Turnover]]-Sales[[#This Row],[Cost]]</f>
        <v>234</v>
      </c>
      <c r="I340" s="3">
        <f>Sales[[#This Row],[Turnover]]*1000/Sales[[#This Row],[Quantity]]</f>
        <v>1511.5384615384614</v>
      </c>
      <c r="J340" s="5">
        <f>Sales[[#This Row],[Quantity]]/SUM(Sales[Quantity])</f>
        <v>1.4158880794930395E-3</v>
      </c>
    </row>
    <row r="341" spans="1:10" x14ac:dyDescent="0.25">
      <c r="A341" t="s">
        <v>30</v>
      </c>
      <c r="B341" t="s">
        <v>20</v>
      </c>
      <c r="C341" t="s">
        <v>19</v>
      </c>
      <c r="D341">
        <v>2018</v>
      </c>
      <c r="E341">
        <v>644</v>
      </c>
      <c r="F341">
        <v>967</v>
      </c>
      <c r="G341">
        <v>781</v>
      </c>
      <c r="H341">
        <f>Sales[[#This Row],[Turnover]]-Sales[[#This Row],[Cost]]</f>
        <v>186</v>
      </c>
      <c r="I341" s="3">
        <f>Sales[[#This Row],[Turnover]]*1000/Sales[[#This Row],[Quantity]]</f>
        <v>1501.5527950310559</v>
      </c>
      <c r="J341" s="5">
        <f>Sales[[#This Row],[Quantity]]/SUM(Sales[Quantity])</f>
        <v>1.1690152861455352E-3</v>
      </c>
    </row>
    <row r="342" spans="1:10" x14ac:dyDescent="0.25">
      <c r="A342" t="s">
        <v>26</v>
      </c>
      <c r="B342" t="s">
        <v>20</v>
      </c>
      <c r="C342" t="s">
        <v>2</v>
      </c>
      <c r="D342">
        <v>2018</v>
      </c>
      <c r="E342">
        <v>409</v>
      </c>
      <c r="F342">
        <v>1428</v>
      </c>
      <c r="G342">
        <v>496</v>
      </c>
      <c r="H342">
        <f>Sales[[#This Row],[Turnover]]-Sales[[#This Row],[Cost]]</f>
        <v>932</v>
      </c>
      <c r="I342" s="3">
        <f>Sales[[#This Row],[Turnover]]*1000/Sales[[#This Row],[Quantity]]</f>
        <v>3491.4425427872861</v>
      </c>
      <c r="J342" s="5">
        <f>Sales[[#This Row],[Quantity]]/SUM(Sales[Quantity])</f>
        <v>7.424336211700681E-4</v>
      </c>
    </row>
    <row r="343" spans="1:10" x14ac:dyDescent="0.25">
      <c r="A343" t="s">
        <v>26</v>
      </c>
      <c r="B343" t="s">
        <v>20</v>
      </c>
      <c r="C343" t="s">
        <v>3</v>
      </c>
      <c r="D343">
        <v>2018</v>
      </c>
      <c r="E343">
        <v>406</v>
      </c>
      <c r="F343">
        <v>1430</v>
      </c>
      <c r="G343">
        <v>493</v>
      </c>
      <c r="H343">
        <f>Sales[[#This Row],[Turnover]]-Sales[[#This Row],[Cost]]</f>
        <v>937</v>
      </c>
      <c r="I343" s="3">
        <f>Sales[[#This Row],[Turnover]]*1000/Sales[[#This Row],[Quantity]]</f>
        <v>3522.1674876847292</v>
      </c>
      <c r="J343" s="5">
        <f>Sales[[#This Row],[Quantity]]/SUM(Sales[Quantity])</f>
        <v>7.3698789778740262E-4</v>
      </c>
    </row>
    <row r="344" spans="1:10" x14ac:dyDescent="0.25">
      <c r="A344" t="s">
        <v>26</v>
      </c>
      <c r="B344" t="s">
        <v>20</v>
      </c>
      <c r="C344" t="s">
        <v>18</v>
      </c>
      <c r="D344">
        <v>2018</v>
      </c>
      <c r="E344">
        <v>386</v>
      </c>
      <c r="F344">
        <v>1361</v>
      </c>
      <c r="G344">
        <v>468</v>
      </c>
      <c r="H344">
        <f>Sales[[#This Row],[Turnover]]-Sales[[#This Row],[Cost]]</f>
        <v>893</v>
      </c>
      <c r="I344" s="3">
        <f>Sales[[#This Row],[Turnover]]*1000/Sales[[#This Row],[Quantity]]</f>
        <v>3525.9067357512954</v>
      </c>
      <c r="J344" s="5">
        <f>Sales[[#This Row],[Quantity]]/SUM(Sales[Quantity])</f>
        <v>7.0068307523629898E-4</v>
      </c>
    </row>
    <row r="345" spans="1:10" x14ac:dyDescent="0.25">
      <c r="A345" t="s">
        <v>26</v>
      </c>
      <c r="B345" t="s">
        <v>20</v>
      </c>
      <c r="C345" t="s">
        <v>4</v>
      </c>
      <c r="D345">
        <v>2018</v>
      </c>
      <c r="E345">
        <v>377</v>
      </c>
      <c r="F345">
        <v>1316</v>
      </c>
      <c r="G345">
        <v>458</v>
      </c>
      <c r="H345">
        <f>Sales[[#This Row],[Turnover]]-Sales[[#This Row],[Cost]]</f>
        <v>858</v>
      </c>
      <c r="I345" s="3">
        <f>Sales[[#This Row],[Turnover]]*1000/Sales[[#This Row],[Quantity]]</f>
        <v>3490.7161803713529</v>
      </c>
      <c r="J345" s="5">
        <f>Sales[[#This Row],[Quantity]]/SUM(Sales[Quantity])</f>
        <v>6.8434590508830242E-4</v>
      </c>
    </row>
    <row r="346" spans="1:10" x14ac:dyDescent="0.25">
      <c r="A346" t="s">
        <v>26</v>
      </c>
      <c r="B346" t="s">
        <v>20</v>
      </c>
      <c r="C346" t="s">
        <v>19</v>
      </c>
      <c r="D346">
        <v>2018</v>
      </c>
      <c r="E346">
        <v>421</v>
      </c>
      <c r="F346">
        <v>1480</v>
      </c>
      <c r="G346">
        <v>511</v>
      </c>
      <c r="H346">
        <f>Sales[[#This Row],[Turnover]]-Sales[[#This Row],[Cost]]</f>
        <v>969</v>
      </c>
      <c r="I346" s="3">
        <f>Sales[[#This Row],[Turnover]]*1000/Sales[[#This Row],[Quantity]]</f>
        <v>3515.439429928741</v>
      </c>
      <c r="J346" s="5">
        <f>Sales[[#This Row],[Quantity]]/SUM(Sales[Quantity])</f>
        <v>7.6421651470073024E-4</v>
      </c>
    </row>
    <row r="347" spans="1:10" x14ac:dyDescent="0.25">
      <c r="A347" t="s">
        <v>29</v>
      </c>
      <c r="B347" t="s">
        <v>20</v>
      </c>
      <c r="C347" t="s">
        <v>2</v>
      </c>
      <c r="D347">
        <v>2018</v>
      </c>
      <c r="E347">
        <v>244</v>
      </c>
      <c r="F347">
        <v>1005</v>
      </c>
      <c r="G347">
        <v>348</v>
      </c>
      <c r="H347">
        <f>Sales[[#This Row],[Turnover]]-Sales[[#This Row],[Cost]]</f>
        <v>657</v>
      </c>
      <c r="I347" s="3">
        <f>Sales[[#This Row],[Turnover]]*1000/Sales[[#This Row],[Quantity]]</f>
        <v>4118.8524590163934</v>
      </c>
      <c r="J347" s="5">
        <f>Sales[[#This Row],[Quantity]]/SUM(Sales[Quantity])</f>
        <v>4.4291883512346365E-4</v>
      </c>
    </row>
    <row r="348" spans="1:10" x14ac:dyDescent="0.25">
      <c r="A348" t="s">
        <v>29</v>
      </c>
      <c r="B348" t="s">
        <v>20</v>
      </c>
      <c r="C348" t="s">
        <v>3</v>
      </c>
      <c r="D348">
        <v>2018</v>
      </c>
      <c r="E348">
        <v>270</v>
      </c>
      <c r="F348">
        <v>1118</v>
      </c>
      <c r="G348">
        <v>387</v>
      </c>
      <c r="H348">
        <f>Sales[[#This Row],[Turnover]]-Sales[[#This Row],[Cost]]</f>
        <v>731</v>
      </c>
      <c r="I348" s="3">
        <f>Sales[[#This Row],[Turnover]]*1000/Sales[[#This Row],[Quantity]]</f>
        <v>4140.7407407407409</v>
      </c>
      <c r="J348" s="5">
        <f>Sales[[#This Row],[Quantity]]/SUM(Sales[Quantity])</f>
        <v>4.901151044398983E-4</v>
      </c>
    </row>
    <row r="349" spans="1:10" x14ac:dyDescent="0.25">
      <c r="A349" t="s">
        <v>29</v>
      </c>
      <c r="B349" t="s">
        <v>20</v>
      </c>
      <c r="C349" t="s">
        <v>18</v>
      </c>
      <c r="D349">
        <v>2018</v>
      </c>
      <c r="E349">
        <v>252</v>
      </c>
      <c r="F349">
        <v>1029</v>
      </c>
      <c r="G349">
        <v>361</v>
      </c>
      <c r="H349">
        <f>Sales[[#This Row],[Turnover]]-Sales[[#This Row],[Cost]]</f>
        <v>668</v>
      </c>
      <c r="I349" s="3">
        <f>Sales[[#This Row],[Turnover]]*1000/Sales[[#This Row],[Quantity]]</f>
        <v>4083.3333333333335</v>
      </c>
      <c r="J349" s="5">
        <f>Sales[[#This Row],[Quantity]]/SUM(Sales[Quantity])</f>
        <v>4.5744076414390504E-4</v>
      </c>
    </row>
    <row r="350" spans="1:10" x14ac:dyDescent="0.25">
      <c r="A350" t="s">
        <v>29</v>
      </c>
      <c r="B350" t="s">
        <v>20</v>
      </c>
      <c r="C350" t="s">
        <v>4</v>
      </c>
      <c r="D350">
        <v>2018</v>
      </c>
      <c r="E350">
        <v>231</v>
      </c>
      <c r="F350">
        <v>953</v>
      </c>
      <c r="G350">
        <v>331</v>
      </c>
      <c r="H350">
        <f>Sales[[#This Row],[Turnover]]-Sales[[#This Row],[Cost]]</f>
        <v>622</v>
      </c>
      <c r="I350" s="3">
        <f>Sales[[#This Row],[Turnover]]*1000/Sales[[#This Row],[Quantity]]</f>
        <v>4125.5411255411254</v>
      </c>
      <c r="J350" s="5">
        <f>Sales[[#This Row],[Quantity]]/SUM(Sales[Quantity])</f>
        <v>4.1932070046524629E-4</v>
      </c>
    </row>
    <row r="351" spans="1:10" x14ac:dyDescent="0.25">
      <c r="A351" t="s">
        <v>29</v>
      </c>
      <c r="B351" t="s">
        <v>20</v>
      </c>
      <c r="C351" t="s">
        <v>19</v>
      </c>
      <c r="D351">
        <v>2018</v>
      </c>
      <c r="E351">
        <v>291</v>
      </c>
      <c r="F351">
        <v>1197</v>
      </c>
      <c r="G351">
        <v>416</v>
      </c>
      <c r="H351">
        <f>Sales[[#This Row],[Turnover]]-Sales[[#This Row],[Cost]]</f>
        <v>781</v>
      </c>
      <c r="I351" s="3">
        <f>Sales[[#This Row],[Turnover]]*1000/Sales[[#This Row],[Quantity]]</f>
        <v>4113.4020618556697</v>
      </c>
      <c r="J351" s="5">
        <f>Sales[[#This Row],[Quantity]]/SUM(Sales[Quantity])</f>
        <v>5.28235168118557E-4</v>
      </c>
    </row>
    <row r="352" spans="1:10" x14ac:dyDescent="0.25">
      <c r="A352" t="s">
        <v>27</v>
      </c>
      <c r="B352" t="s">
        <v>20</v>
      </c>
      <c r="C352" t="s">
        <v>12</v>
      </c>
      <c r="D352">
        <v>2019</v>
      </c>
      <c r="E352">
        <v>994</v>
      </c>
      <c r="F352">
        <v>696</v>
      </c>
      <c r="G352">
        <v>578</v>
      </c>
      <c r="H352">
        <f>Sales[[#This Row],[Turnover]]-Sales[[#This Row],[Cost]]</f>
        <v>118</v>
      </c>
      <c r="I352" s="3">
        <f>Sales[[#This Row],[Turnover]]*1000/Sales[[#This Row],[Quantity]]</f>
        <v>700.20120724346077</v>
      </c>
      <c r="J352" s="5">
        <f>Sales[[#This Row],[Quantity]]/SUM(Sales[Quantity])</f>
        <v>1.8043496807898477E-3</v>
      </c>
    </row>
    <row r="353" spans="1:10" x14ac:dyDescent="0.25">
      <c r="A353" t="s">
        <v>27</v>
      </c>
      <c r="B353" t="s">
        <v>20</v>
      </c>
      <c r="C353" t="s">
        <v>13</v>
      </c>
      <c r="D353">
        <v>2019</v>
      </c>
      <c r="E353">
        <v>1003</v>
      </c>
      <c r="F353">
        <v>701</v>
      </c>
      <c r="G353">
        <v>584</v>
      </c>
      <c r="H353">
        <f>Sales[[#This Row],[Turnover]]-Sales[[#This Row],[Cost]]</f>
        <v>117</v>
      </c>
      <c r="I353" s="3">
        <f>Sales[[#This Row],[Turnover]]*1000/Sales[[#This Row],[Quantity]]</f>
        <v>698.90329012961115</v>
      </c>
      <c r="J353" s="5">
        <f>Sales[[#This Row],[Quantity]]/SUM(Sales[Quantity])</f>
        <v>1.8206868509378442E-3</v>
      </c>
    </row>
    <row r="354" spans="1:10" x14ac:dyDescent="0.25">
      <c r="A354" t="s">
        <v>27</v>
      </c>
      <c r="B354" t="s">
        <v>20</v>
      </c>
      <c r="C354" t="s">
        <v>16</v>
      </c>
      <c r="D354">
        <v>2019</v>
      </c>
      <c r="E354">
        <v>902</v>
      </c>
      <c r="F354">
        <v>628</v>
      </c>
      <c r="G354">
        <v>525</v>
      </c>
      <c r="H354">
        <f>Sales[[#This Row],[Turnover]]-Sales[[#This Row],[Cost]]</f>
        <v>103</v>
      </c>
      <c r="I354" s="3">
        <f>Sales[[#This Row],[Turnover]]*1000/Sales[[#This Row],[Quantity]]</f>
        <v>696.23059866962308</v>
      </c>
      <c r="J354" s="5">
        <f>Sales[[#This Row],[Quantity]]/SUM(Sales[Quantity])</f>
        <v>1.6373474970547712E-3</v>
      </c>
    </row>
    <row r="355" spans="1:10" x14ac:dyDescent="0.25">
      <c r="A355" t="s">
        <v>27</v>
      </c>
      <c r="B355" t="s">
        <v>20</v>
      </c>
      <c r="C355" t="s">
        <v>1</v>
      </c>
      <c r="D355">
        <v>2019</v>
      </c>
      <c r="E355">
        <v>864</v>
      </c>
      <c r="F355">
        <v>604</v>
      </c>
      <c r="G355">
        <v>503</v>
      </c>
      <c r="H355">
        <f>Sales[[#This Row],[Turnover]]-Sales[[#This Row],[Cost]]</f>
        <v>101</v>
      </c>
      <c r="I355" s="3">
        <f>Sales[[#This Row],[Turnover]]*1000/Sales[[#This Row],[Quantity]]</f>
        <v>699.07407407407402</v>
      </c>
      <c r="J355" s="5">
        <f>Sales[[#This Row],[Quantity]]/SUM(Sales[Quantity])</f>
        <v>1.5683683342076744E-3</v>
      </c>
    </row>
    <row r="356" spans="1:10" x14ac:dyDescent="0.25">
      <c r="A356" t="s">
        <v>27</v>
      </c>
      <c r="B356" t="s">
        <v>20</v>
      </c>
      <c r="C356" t="s">
        <v>17</v>
      </c>
      <c r="D356">
        <v>2019</v>
      </c>
      <c r="E356">
        <v>686</v>
      </c>
      <c r="F356">
        <v>478</v>
      </c>
      <c r="G356">
        <v>399</v>
      </c>
      <c r="H356">
        <f>Sales[[#This Row],[Turnover]]-Sales[[#This Row],[Cost]]</f>
        <v>79</v>
      </c>
      <c r="I356" s="3">
        <f>Sales[[#This Row],[Turnover]]*1000/Sales[[#This Row],[Quantity]]</f>
        <v>696.79300291545189</v>
      </c>
      <c r="J356" s="5">
        <f>Sales[[#This Row],[Quantity]]/SUM(Sales[Quantity])</f>
        <v>1.2452554135028526E-3</v>
      </c>
    </row>
    <row r="357" spans="1:10" x14ac:dyDescent="0.25">
      <c r="A357" t="s">
        <v>27</v>
      </c>
      <c r="B357" t="s">
        <v>20</v>
      </c>
      <c r="C357" t="s">
        <v>15</v>
      </c>
      <c r="D357">
        <v>2019</v>
      </c>
      <c r="E357">
        <v>838</v>
      </c>
      <c r="F357">
        <v>506</v>
      </c>
      <c r="G357">
        <v>488</v>
      </c>
      <c r="H357">
        <f>Sales[[#This Row],[Turnover]]-Sales[[#This Row],[Cost]]</f>
        <v>18</v>
      </c>
      <c r="I357" s="3">
        <f>Sales[[#This Row],[Turnover]]*1000/Sales[[#This Row],[Quantity]]</f>
        <v>603.81861575178993</v>
      </c>
      <c r="J357" s="5">
        <f>Sales[[#This Row],[Quantity]]/SUM(Sales[Quantity])</f>
        <v>1.5211720648912398E-3</v>
      </c>
    </row>
    <row r="358" spans="1:10" x14ac:dyDescent="0.25">
      <c r="A358" t="s">
        <v>27</v>
      </c>
      <c r="B358" t="s">
        <v>20</v>
      </c>
      <c r="C358" t="s">
        <v>14</v>
      </c>
      <c r="D358">
        <v>2019</v>
      </c>
      <c r="E358">
        <v>894</v>
      </c>
      <c r="F358">
        <v>534</v>
      </c>
      <c r="G358">
        <v>520</v>
      </c>
      <c r="H358">
        <f>Sales[[#This Row],[Turnover]]-Sales[[#This Row],[Cost]]</f>
        <v>14</v>
      </c>
      <c r="I358" s="3">
        <f>Sales[[#This Row],[Turnover]]*1000/Sales[[#This Row],[Quantity]]</f>
        <v>597.31543624161077</v>
      </c>
      <c r="J358" s="5">
        <f>Sales[[#This Row],[Quantity]]/SUM(Sales[Quantity])</f>
        <v>1.6228255680343299E-3</v>
      </c>
    </row>
    <row r="359" spans="1:10" x14ac:dyDescent="0.25">
      <c r="A359" t="s">
        <v>27</v>
      </c>
      <c r="B359" t="s">
        <v>20</v>
      </c>
      <c r="C359" t="s">
        <v>2</v>
      </c>
      <c r="D359">
        <v>2019</v>
      </c>
      <c r="E359">
        <v>698</v>
      </c>
      <c r="F359">
        <v>415</v>
      </c>
      <c r="G359">
        <v>406</v>
      </c>
      <c r="H359">
        <f>Sales[[#This Row],[Turnover]]-Sales[[#This Row],[Cost]]</f>
        <v>9</v>
      </c>
      <c r="I359" s="3">
        <f>Sales[[#This Row],[Turnover]]*1000/Sales[[#This Row],[Quantity]]</f>
        <v>594.55587392550149</v>
      </c>
      <c r="J359" s="5">
        <f>Sales[[#This Row],[Quantity]]/SUM(Sales[Quantity])</f>
        <v>1.2670383070335148E-3</v>
      </c>
    </row>
    <row r="360" spans="1:10" x14ac:dyDescent="0.25">
      <c r="A360" t="s">
        <v>27</v>
      </c>
      <c r="B360" t="s">
        <v>20</v>
      </c>
      <c r="C360" t="s">
        <v>3</v>
      </c>
      <c r="D360">
        <v>2019</v>
      </c>
      <c r="E360">
        <v>627</v>
      </c>
      <c r="F360">
        <v>376</v>
      </c>
      <c r="G360">
        <v>365</v>
      </c>
      <c r="H360">
        <f>Sales[[#This Row],[Turnover]]-Sales[[#This Row],[Cost]]</f>
        <v>11</v>
      </c>
      <c r="I360" s="3">
        <f>Sales[[#This Row],[Turnover]]*1000/Sales[[#This Row],[Quantity]]</f>
        <v>599.6810207336523</v>
      </c>
      <c r="J360" s="5">
        <f>Sales[[#This Row],[Quantity]]/SUM(Sales[Quantity])</f>
        <v>1.1381561869770972E-3</v>
      </c>
    </row>
    <row r="361" spans="1:10" x14ac:dyDescent="0.25">
      <c r="A361" t="s">
        <v>27</v>
      </c>
      <c r="B361" t="s">
        <v>20</v>
      </c>
      <c r="C361" t="s">
        <v>18</v>
      </c>
      <c r="D361">
        <v>2019</v>
      </c>
      <c r="E361">
        <v>698</v>
      </c>
      <c r="F361">
        <v>414</v>
      </c>
      <c r="G361">
        <v>406</v>
      </c>
      <c r="H361">
        <f>Sales[[#This Row],[Turnover]]-Sales[[#This Row],[Cost]]</f>
        <v>8</v>
      </c>
      <c r="I361" s="3">
        <f>Sales[[#This Row],[Turnover]]*1000/Sales[[#This Row],[Quantity]]</f>
        <v>593.12320916905446</v>
      </c>
      <c r="J361" s="5">
        <f>Sales[[#This Row],[Quantity]]/SUM(Sales[Quantity])</f>
        <v>1.2670383070335148E-3</v>
      </c>
    </row>
    <row r="362" spans="1:10" x14ac:dyDescent="0.25">
      <c r="A362" t="s">
        <v>27</v>
      </c>
      <c r="B362" t="s">
        <v>20</v>
      </c>
      <c r="C362" t="s">
        <v>4</v>
      </c>
      <c r="D362">
        <v>2019</v>
      </c>
      <c r="E362">
        <v>597</v>
      </c>
      <c r="F362">
        <v>359</v>
      </c>
      <c r="G362">
        <v>347</v>
      </c>
      <c r="H362">
        <f>Sales[[#This Row],[Turnover]]-Sales[[#This Row],[Cost]]</f>
        <v>12</v>
      </c>
      <c r="I362" s="3">
        <f>Sales[[#This Row],[Turnover]]*1000/Sales[[#This Row],[Quantity]]</f>
        <v>601.34003350083754</v>
      </c>
      <c r="J362" s="5">
        <f>Sales[[#This Row],[Quantity]]/SUM(Sales[Quantity])</f>
        <v>1.0836989531504417E-3</v>
      </c>
    </row>
    <row r="363" spans="1:10" x14ac:dyDescent="0.25">
      <c r="A363" t="s">
        <v>27</v>
      </c>
      <c r="B363" t="s">
        <v>20</v>
      </c>
      <c r="C363" t="s">
        <v>19</v>
      </c>
      <c r="D363">
        <v>2019</v>
      </c>
      <c r="E363">
        <v>579</v>
      </c>
      <c r="F363">
        <v>350</v>
      </c>
      <c r="G363">
        <v>337</v>
      </c>
      <c r="H363">
        <f>Sales[[#This Row],[Turnover]]-Sales[[#This Row],[Cost]]</f>
        <v>13</v>
      </c>
      <c r="I363" s="3">
        <f>Sales[[#This Row],[Turnover]]*1000/Sales[[#This Row],[Quantity]]</f>
        <v>604.49050086355783</v>
      </c>
      <c r="J363" s="5">
        <f>Sales[[#This Row],[Quantity]]/SUM(Sales[Quantity])</f>
        <v>1.0510246128544486E-3</v>
      </c>
    </row>
    <row r="364" spans="1:10" x14ac:dyDescent="0.25">
      <c r="A364" t="s">
        <v>28</v>
      </c>
      <c r="B364" t="s">
        <v>20</v>
      </c>
      <c r="C364" t="s">
        <v>12</v>
      </c>
      <c r="D364">
        <v>2019</v>
      </c>
      <c r="E364">
        <v>696</v>
      </c>
      <c r="F364">
        <v>553</v>
      </c>
      <c r="G364">
        <v>419</v>
      </c>
      <c r="H364">
        <f>Sales[[#This Row],[Turnover]]-Sales[[#This Row],[Cost]]</f>
        <v>134</v>
      </c>
      <c r="I364" s="3">
        <f>Sales[[#This Row],[Turnover]]*1000/Sales[[#This Row],[Quantity]]</f>
        <v>794.54022988505744</v>
      </c>
      <c r="J364" s="5">
        <f>Sales[[#This Row],[Quantity]]/SUM(Sales[Quantity])</f>
        <v>1.2634078247784045E-3</v>
      </c>
    </row>
    <row r="365" spans="1:10" x14ac:dyDescent="0.25">
      <c r="A365" t="s">
        <v>28</v>
      </c>
      <c r="B365" t="s">
        <v>20</v>
      </c>
      <c r="C365" t="s">
        <v>13</v>
      </c>
      <c r="D365">
        <v>2019</v>
      </c>
      <c r="E365">
        <v>684</v>
      </c>
      <c r="F365">
        <v>543</v>
      </c>
      <c r="G365">
        <v>412</v>
      </c>
      <c r="H365">
        <f>Sales[[#This Row],[Turnover]]-Sales[[#This Row],[Cost]]</f>
        <v>131</v>
      </c>
      <c r="I365" s="3">
        <f>Sales[[#This Row],[Turnover]]*1000/Sales[[#This Row],[Quantity]]</f>
        <v>793.85964912280701</v>
      </c>
      <c r="J365" s="5">
        <f>Sales[[#This Row],[Quantity]]/SUM(Sales[Quantity])</f>
        <v>1.2416249312477423E-3</v>
      </c>
    </row>
    <row r="366" spans="1:10" x14ac:dyDescent="0.25">
      <c r="A366" t="s">
        <v>28</v>
      </c>
      <c r="B366" t="s">
        <v>20</v>
      </c>
      <c r="C366" t="s">
        <v>16</v>
      </c>
      <c r="D366">
        <v>2019</v>
      </c>
      <c r="E366">
        <v>611</v>
      </c>
      <c r="F366">
        <v>487</v>
      </c>
      <c r="G366">
        <v>368</v>
      </c>
      <c r="H366">
        <f>Sales[[#This Row],[Turnover]]-Sales[[#This Row],[Cost]]</f>
        <v>119</v>
      </c>
      <c r="I366" s="3">
        <f>Sales[[#This Row],[Turnover]]*1000/Sales[[#This Row],[Quantity]]</f>
        <v>797.05400981996729</v>
      </c>
      <c r="J366" s="5">
        <f>Sales[[#This Row],[Quantity]]/SUM(Sales[Quantity])</f>
        <v>1.1091123289362142E-3</v>
      </c>
    </row>
    <row r="367" spans="1:10" x14ac:dyDescent="0.25">
      <c r="A367" t="s">
        <v>28</v>
      </c>
      <c r="B367" t="s">
        <v>20</v>
      </c>
      <c r="C367" t="s">
        <v>1</v>
      </c>
      <c r="D367">
        <v>2019</v>
      </c>
      <c r="E367">
        <v>622</v>
      </c>
      <c r="F367">
        <v>501</v>
      </c>
      <c r="G367">
        <v>374</v>
      </c>
      <c r="H367">
        <f>Sales[[#This Row],[Turnover]]-Sales[[#This Row],[Cost]]</f>
        <v>127</v>
      </c>
      <c r="I367" s="3">
        <f>Sales[[#This Row],[Turnover]]*1000/Sales[[#This Row],[Quantity]]</f>
        <v>805.46623794212223</v>
      </c>
      <c r="J367" s="5">
        <f>Sales[[#This Row],[Quantity]]/SUM(Sales[Quantity])</f>
        <v>1.1290799813393213E-3</v>
      </c>
    </row>
    <row r="368" spans="1:10" x14ac:dyDescent="0.25">
      <c r="A368" t="s">
        <v>28</v>
      </c>
      <c r="B368" t="s">
        <v>20</v>
      </c>
      <c r="C368" t="s">
        <v>17</v>
      </c>
      <c r="D368">
        <v>2019</v>
      </c>
      <c r="E368">
        <v>520</v>
      </c>
      <c r="F368">
        <v>418</v>
      </c>
      <c r="G368">
        <v>313</v>
      </c>
      <c r="H368">
        <f>Sales[[#This Row],[Turnover]]-Sales[[#This Row],[Cost]]</f>
        <v>105</v>
      </c>
      <c r="I368" s="3">
        <f>Sales[[#This Row],[Turnover]]*1000/Sales[[#This Row],[Quantity]]</f>
        <v>803.84615384615381</v>
      </c>
      <c r="J368" s="5">
        <f>Sales[[#This Row],[Quantity]]/SUM(Sales[Quantity])</f>
        <v>9.4392538632869297E-4</v>
      </c>
    </row>
    <row r="369" spans="1:10" x14ac:dyDescent="0.25">
      <c r="A369" t="s">
        <v>28</v>
      </c>
      <c r="B369" t="s">
        <v>20</v>
      </c>
      <c r="C369" t="s">
        <v>15</v>
      </c>
      <c r="D369">
        <v>2019</v>
      </c>
      <c r="E369">
        <v>723</v>
      </c>
      <c r="F369">
        <v>506</v>
      </c>
      <c r="G369">
        <v>435</v>
      </c>
      <c r="H369">
        <f>Sales[[#This Row],[Turnover]]-Sales[[#This Row],[Cost]]</f>
        <v>71</v>
      </c>
      <c r="I369" s="3">
        <f>Sales[[#This Row],[Turnover]]*1000/Sales[[#This Row],[Quantity]]</f>
        <v>699.86168741355459</v>
      </c>
      <c r="J369" s="5">
        <f>Sales[[#This Row],[Quantity]]/SUM(Sales[Quantity])</f>
        <v>1.3124193352223943E-3</v>
      </c>
    </row>
    <row r="370" spans="1:10" x14ac:dyDescent="0.25">
      <c r="A370" t="s">
        <v>28</v>
      </c>
      <c r="B370" t="s">
        <v>20</v>
      </c>
      <c r="C370" t="s">
        <v>14</v>
      </c>
      <c r="D370">
        <v>2019</v>
      </c>
      <c r="E370">
        <v>686</v>
      </c>
      <c r="F370">
        <v>484</v>
      </c>
      <c r="G370">
        <v>413</v>
      </c>
      <c r="H370">
        <f>Sales[[#This Row],[Turnover]]-Sales[[#This Row],[Cost]]</f>
        <v>71</v>
      </c>
      <c r="I370" s="3">
        <f>Sales[[#This Row],[Turnover]]*1000/Sales[[#This Row],[Quantity]]</f>
        <v>705.53935860058311</v>
      </c>
      <c r="J370" s="5">
        <f>Sales[[#This Row],[Quantity]]/SUM(Sales[Quantity])</f>
        <v>1.2452554135028526E-3</v>
      </c>
    </row>
    <row r="371" spans="1:10" x14ac:dyDescent="0.25">
      <c r="A371" t="s">
        <v>28</v>
      </c>
      <c r="B371" t="s">
        <v>20</v>
      </c>
      <c r="C371" t="s">
        <v>2</v>
      </c>
      <c r="D371">
        <v>2019</v>
      </c>
      <c r="E371">
        <v>603</v>
      </c>
      <c r="F371">
        <v>420</v>
      </c>
      <c r="G371">
        <v>363</v>
      </c>
      <c r="H371">
        <f>Sales[[#This Row],[Turnover]]-Sales[[#This Row],[Cost]]</f>
        <v>57</v>
      </c>
      <c r="I371" s="3">
        <f>Sales[[#This Row],[Turnover]]*1000/Sales[[#This Row],[Quantity]]</f>
        <v>696.51741293532336</v>
      </c>
      <c r="J371" s="5">
        <f>Sales[[#This Row],[Quantity]]/SUM(Sales[Quantity])</f>
        <v>1.0945903999157729E-3</v>
      </c>
    </row>
    <row r="372" spans="1:10" x14ac:dyDescent="0.25">
      <c r="A372" t="s">
        <v>28</v>
      </c>
      <c r="B372" t="s">
        <v>20</v>
      </c>
      <c r="C372" t="s">
        <v>3</v>
      </c>
      <c r="D372">
        <v>2019</v>
      </c>
      <c r="E372">
        <v>585</v>
      </c>
      <c r="F372">
        <v>407</v>
      </c>
      <c r="G372">
        <v>352</v>
      </c>
      <c r="H372">
        <f>Sales[[#This Row],[Turnover]]-Sales[[#This Row],[Cost]]</f>
        <v>55</v>
      </c>
      <c r="I372" s="3">
        <f>Sales[[#This Row],[Turnover]]*1000/Sales[[#This Row],[Quantity]]</f>
        <v>695.72649572649573</v>
      </c>
      <c r="J372" s="5">
        <f>Sales[[#This Row],[Quantity]]/SUM(Sales[Quantity])</f>
        <v>1.0619160596197796E-3</v>
      </c>
    </row>
    <row r="373" spans="1:10" x14ac:dyDescent="0.25">
      <c r="A373" t="s">
        <v>28</v>
      </c>
      <c r="B373" t="s">
        <v>20</v>
      </c>
      <c r="C373" t="s">
        <v>18</v>
      </c>
      <c r="D373">
        <v>2019</v>
      </c>
      <c r="E373">
        <v>682</v>
      </c>
      <c r="F373">
        <v>476</v>
      </c>
      <c r="G373">
        <v>411</v>
      </c>
      <c r="H373">
        <f>Sales[[#This Row],[Turnover]]-Sales[[#This Row],[Cost]]</f>
        <v>65</v>
      </c>
      <c r="I373" s="3">
        <f>Sales[[#This Row],[Turnover]]*1000/Sales[[#This Row],[Quantity]]</f>
        <v>697.94721407624638</v>
      </c>
      <c r="J373" s="5">
        <f>Sales[[#This Row],[Quantity]]/SUM(Sales[Quantity])</f>
        <v>1.237994448992632E-3</v>
      </c>
    </row>
    <row r="374" spans="1:10" x14ac:dyDescent="0.25">
      <c r="A374" t="s">
        <v>28</v>
      </c>
      <c r="B374" t="s">
        <v>20</v>
      </c>
      <c r="C374" t="s">
        <v>4</v>
      </c>
      <c r="D374">
        <v>2019</v>
      </c>
      <c r="E374">
        <v>623</v>
      </c>
      <c r="F374">
        <v>436</v>
      </c>
      <c r="G374">
        <v>375</v>
      </c>
      <c r="H374">
        <f>Sales[[#This Row],[Turnover]]-Sales[[#This Row],[Cost]]</f>
        <v>61</v>
      </c>
      <c r="I374" s="3">
        <f>Sales[[#This Row],[Turnover]]*1000/Sales[[#This Row],[Quantity]]</f>
        <v>699.83948635634033</v>
      </c>
      <c r="J374" s="5">
        <f>Sales[[#This Row],[Quantity]]/SUM(Sales[Quantity])</f>
        <v>1.1308952224668763E-3</v>
      </c>
    </row>
    <row r="375" spans="1:10" x14ac:dyDescent="0.25">
      <c r="A375" t="s">
        <v>28</v>
      </c>
      <c r="B375" t="s">
        <v>20</v>
      </c>
      <c r="C375" t="s">
        <v>19</v>
      </c>
      <c r="D375">
        <v>2019</v>
      </c>
      <c r="E375">
        <v>619</v>
      </c>
      <c r="F375">
        <v>432</v>
      </c>
      <c r="G375">
        <v>373</v>
      </c>
      <c r="H375">
        <f>Sales[[#This Row],[Turnover]]-Sales[[#This Row],[Cost]]</f>
        <v>59</v>
      </c>
      <c r="I375" s="3">
        <f>Sales[[#This Row],[Turnover]]*1000/Sales[[#This Row],[Quantity]]</f>
        <v>697.89983844911148</v>
      </c>
      <c r="J375" s="5">
        <f>Sales[[#This Row],[Quantity]]/SUM(Sales[Quantity])</f>
        <v>1.1236342579566557E-3</v>
      </c>
    </row>
    <row r="376" spans="1:10" x14ac:dyDescent="0.25">
      <c r="A376" t="s">
        <v>30</v>
      </c>
      <c r="B376" t="s">
        <v>20</v>
      </c>
      <c r="C376" t="s">
        <v>12</v>
      </c>
      <c r="D376">
        <v>2019</v>
      </c>
      <c r="E376">
        <v>581</v>
      </c>
      <c r="F376">
        <v>863</v>
      </c>
      <c r="G376">
        <v>704</v>
      </c>
      <c r="H376">
        <f>Sales[[#This Row],[Turnover]]-Sales[[#This Row],[Cost]]</f>
        <v>159</v>
      </c>
      <c r="I376" s="3">
        <f>Sales[[#This Row],[Turnover]]*1000/Sales[[#This Row],[Quantity]]</f>
        <v>1485.3700516351118</v>
      </c>
      <c r="J376" s="5">
        <f>Sales[[#This Row],[Quantity]]/SUM(Sales[Quantity])</f>
        <v>1.0546550951095589E-3</v>
      </c>
    </row>
    <row r="377" spans="1:10" x14ac:dyDescent="0.25">
      <c r="A377" t="s">
        <v>30</v>
      </c>
      <c r="B377" t="s">
        <v>20</v>
      </c>
      <c r="C377" t="s">
        <v>13</v>
      </c>
      <c r="D377">
        <v>2019</v>
      </c>
      <c r="E377">
        <v>431</v>
      </c>
      <c r="F377">
        <v>643</v>
      </c>
      <c r="G377">
        <v>522</v>
      </c>
      <c r="H377">
        <f>Sales[[#This Row],[Turnover]]-Sales[[#This Row],[Cost]]</f>
        <v>121</v>
      </c>
      <c r="I377" s="3">
        <f>Sales[[#This Row],[Turnover]]*1000/Sales[[#This Row],[Quantity]]</f>
        <v>1491.8793503480279</v>
      </c>
      <c r="J377" s="5">
        <f>Sales[[#This Row],[Quantity]]/SUM(Sales[Quantity])</f>
        <v>7.8236892597628206E-4</v>
      </c>
    </row>
    <row r="378" spans="1:10" x14ac:dyDescent="0.25">
      <c r="A378" t="s">
        <v>30</v>
      </c>
      <c r="B378" t="s">
        <v>20</v>
      </c>
      <c r="C378" t="s">
        <v>16</v>
      </c>
      <c r="D378">
        <v>2019</v>
      </c>
      <c r="E378">
        <v>394</v>
      </c>
      <c r="F378">
        <v>588</v>
      </c>
      <c r="G378">
        <v>478</v>
      </c>
      <c r="H378">
        <f>Sales[[#This Row],[Turnover]]-Sales[[#This Row],[Cost]]</f>
        <v>110</v>
      </c>
      <c r="I378" s="3">
        <f>Sales[[#This Row],[Turnover]]*1000/Sales[[#This Row],[Quantity]]</f>
        <v>1492.3857868020305</v>
      </c>
      <c r="J378" s="5">
        <f>Sales[[#This Row],[Quantity]]/SUM(Sales[Quantity])</f>
        <v>7.1520500425674048E-4</v>
      </c>
    </row>
    <row r="379" spans="1:10" x14ac:dyDescent="0.25">
      <c r="A379" t="s">
        <v>30</v>
      </c>
      <c r="B379" t="s">
        <v>20</v>
      </c>
      <c r="C379" t="s">
        <v>1</v>
      </c>
      <c r="D379">
        <v>2019</v>
      </c>
      <c r="E379">
        <v>367</v>
      </c>
      <c r="F379">
        <v>547</v>
      </c>
      <c r="G379">
        <v>444</v>
      </c>
      <c r="H379">
        <f>Sales[[#This Row],[Turnover]]-Sales[[#This Row],[Cost]]</f>
        <v>103</v>
      </c>
      <c r="I379" s="3">
        <f>Sales[[#This Row],[Turnover]]*1000/Sales[[#This Row],[Quantity]]</f>
        <v>1490.4632152588556</v>
      </c>
      <c r="J379" s="5">
        <f>Sales[[#This Row],[Quantity]]/SUM(Sales[Quantity])</f>
        <v>6.661934938127506E-4</v>
      </c>
    </row>
    <row r="380" spans="1:10" x14ac:dyDescent="0.25">
      <c r="A380" t="s">
        <v>30</v>
      </c>
      <c r="B380" t="s">
        <v>20</v>
      </c>
      <c r="C380" t="s">
        <v>17</v>
      </c>
      <c r="D380">
        <v>2019</v>
      </c>
      <c r="E380">
        <v>413</v>
      </c>
      <c r="F380">
        <v>621</v>
      </c>
      <c r="G380">
        <v>500</v>
      </c>
      <c r="H380">
        <f>Sales[[#This Row],[Turnover]]-Sales[[#This Row],[Cost]]</f>
        <v>121</v>
      </c>
      <c r="I380" s="3">
        <f>Sales[[#This Row],[Turnover]]*1000/Sales[[#This Row],[Quantity]]</f>
        <v>1503.6319612590798</v>
      </c>
      <c r="J380" s="5">
        <f>Sales[[#This Row],[Quantity]]/SUM(Sales[Quantity])</f>
        <v>7.4969458568028885E-4</v>
      </c>
    </row>
    <row r="381" spans="1:10" x14ac:dyDescent="0.25">
      <c r="A381" t="s">
        <v>30</v>
      </c>
      <c r="B381" t="s">
        <v>20</v>
      </c>
      <c r="C381" t="s">
        <v>15</v>
      </c>
      <c r="D381">
        <v>2019</v>
      </c>
      <c r="E381">
        <v>366</v>
      </c>
      <c r="F381">
        <v>554</v>
      </c>
      <c r="G381">
        <v>444</v>
      </c>
      <c r="H381">
        <f>Sales[[#This Row],[Turnover]]-Sales[[#This Row],[Cost]]</f>
        <v>110</v>
      </c>
      <c r="I381" s="3">
        <f>Sales[[#This Row],[Turnover]]*1000/Sales[[#This Row],[Quantity]]</f>
        <v>1513.6612021857923</v>
      </c>
      <c r="J381" s="5">
        <f>Sales[[#This Row],[Quantity]]/SUM(Sales[Quantity])</f>
        <v>6.6437825268519544E-4</v>
      </c>
    </row>
    <row r="382" spans="1:10" x14ac:dyDescent="0.25">
      <c r="A382" t="s">
        <v>30</v>
      </c>
      <c r="B382" t="s">
        <v>20</v>
      </c>
      <c r="C382" t="s">
        <v>14</v>
      </c>
      <c r="D382">
        <v>2019</v>
      </c>
      <c r="E382">
        <v>355</v>
      </c>
      <c r="F382">
        <v>533</v>
      </c>
      <c r="G382">
        <v>430</v>
      </c>
      <c r="H382">
        <f>Sales[[#This Row],[Turnover]]-Sales[[#This Row],[Cost]]</f>
        <v>103</v>
      </c>
      <c r="I382" s="3">
        <f>Sales[[#This Row],[Turnover]]*1000/Sales[[#This Row],[Quantity]]</f>
        <v>1501.4084507042253</v>
      </c>
      <c r="J382" s="5">
        <f>Sales[[#This Row],[Quantity]]/SUM(Sales[Quantity])</f>
        <v>6.4441060028208846E-4</v>
      </c>
    </row>
    <row r="383" spans="1:10" x14ac:dyDescent="0.25">
      <c r="A383" t="s">
        <v>26</v>
      </c>
      <c r="B383" t="s">
        <v>20</v>
      </c>
      <c r="C383" t="s">
        <v>12</v>
      </c>
      <c r="D383">
        <v>2019</v>
      </c>
      <c r="E383">
        <v>373</v>
      </c>
      <c r="F383">
        <v>1315</v>
      </c>
      <c r="G383">
        <v>452</v>
      </c>
      <c r="H383">
        <f>Sales[[#This Row],[Turnover]]-Sales[[#This Row],[Cost]]</f>
        <v>863</v>
      </c>
      <c r="I383" s="3">
        <f>Sales[[#This Row],[Turnover]]*1000/Sales[[#This Row],[Quantity]]</f>
        <v>3525.4691689008041</v>
      </c>
      <c r="J383" s="5">
        <f>Sales[[#This Row],[Quantity]]/SUM(Sales[Quantity])</f>
        <v>6.7708494057808167E-4</v>
      </c>
    </row>
    <row r="384" spans="1:10" x14ac:dyDescent="0.25">
      <c r="A384" t="s">
        <v>26</v>
      </c>
      <c r="B384" t="s">
        <v>20</v>
      </c>
      <c r="C384" t="s">
        <v>13</v>
      </c>
      <c r="D384">
        <v>2019</v>
      </c>
      <c r="E384">
        <v>349</v>
      </c>
      <c r="F384">
        <v>1211</v>
      </c>
      <c r="G384">
        <v>424</v>
      </c>
      <c r="H384">
        <f>Sales[[#This Row],[Turnover]]-Sales[[#This Row],[Cost]]</f>
        <v>787</v>
      </c>
      <c r="I384" s="3">
        <f>Sales[[#This Row],[Turnover]]*1000/Sales[[#This Row],[Quantity]]</f>
        <v>3469.9140401146133</v>
      </c>
      <c r="J384" s="5">
        <f>Sales[[#This Row],[Quantity]]/SUM(Sales[Quantity])</f>
        <v>6.3351915351675739E-4</v>
      </c>
    </row>
    <row r="385" spans="1:10" x14ac:dyDescent="0.25">
      <c r="A385" t="s">
        <v>26</v>
      </c>
      <c r="B385" t="s">
        <v>20</v>
      </c>
      <c r="C385" t="s">
        <v>16</v>
      </c>
      <c r="D385">
        <v>2019</v>
      </c>
      <c r="E385">
        <v>309</v>
      </c>
      <c r="F385">
        <v>1090</v>
      </c>
      <c r="G385">
        <v>375</v>
      </c>
      <c r="H385">
        <f>Sales[[#This Row],[Turnover]]-Sales[[#This Row],[Cost]]</f>
        <v>715</v>
      </c>
      <c r="I385" s="3">
        <f>Sales[[#This Row],[Turnover]]*1000/Sales[[#This Row],[Quantity]]</f>
        <v>3527.5080906148869</v>
      </c>
      <c r="J385" s="5">
        <f>Sales[[#This Row],[Quantity]]/SUM(Sales[Quantity])</f>
        <v>5.6090950841455021E-4</v>
      </c>
    </row>
    <row r="386" spans="1:10" x14ac:dyDescent="0.25">
      <c r="A386" t="s">
        <v>26</v>
      </c>
      <c r="B386" t="s">
        <v>20</v>
      </c>
      <c r="C386" t="s">
        <v>1</v>
      </c>
      <c r="D386">
        <v>2019</v>
      </c>
      <c r="E386">
        <v>314</v>
      </c>
      <c r="F386">
        <v>1090</v>
      </c>
      <c r="G386">
        <v>381</v>
      </c>
      <c r="H386">
        <f>Sales[[#This Row],[Turnover]]-Sales[[#This Row],[Cost]]</f>
        <v>709</v>
      </c>
      <c r="I386" s="3">
        <f>Sales[[#This Row],[Turnover]]*1000/Sales[[#This Row],[Quantity]]</f>
        <v>3471.3375796178343</v>
      </c>
      <c r="J386" s="5">
        <f>Sales[[#This Row],[Quantity]]/SUM(Sales[Quantity])</f>
        <v>5.6998571405232612E-4</v>
      </c>
    </row>
    <row r="387" spans="1:10" x14ac:dyDescent="0.25">
      <c r="A387" t="s">
        <v>26</v>
      </c>
      <c r="B387" t="s">
        <v>20</v>
      </c>
      <c r="C387" t="s">
        <v>17</v>
      </c>
      <c r="D387">
        <v>2019</v>
      </c>
      <c r="E387">
        <v>309</v>
      </c>
      <c r="F387">
        <v>1086</v>
      </c>
      <c r="G387">
        <v>376</v>
      </c>
      <c r="H387">
        <f>Sales[[#This Row],[Turnover]]-Sales[[#This Row],[Cost]]</f>
        <v>710</v>
      </c>
      <c r="I387" s="3">
        <f>Sales[[#This Row],[Turnover]]*1000/Sales[[#This Row],[Quantity]]</f>
        <v>3514.5631067961167</v>
      </c>
      <c r="J387" s="5">
        <f>Sales[[#This Row],[Quantity]]/SUM(Sales[Quantity])</f>
        <v>5.6090950841455021E-4</v>
      </c>
    </row>
    <row r="388" spans="1:10" x14ac:dyDescent="0.25">
      <c r="A388" t="s">
        <v>26</v>
      </c>
      <c r="B388" t="s">
        <v>20</v>
      </c>
      <c r="C388" t="s">
        <v>15</v>
      </c>
      <c r="D388">
        <v>2019</v>
      </c>
      <c r="E388">
        <v>275</v>
      </c>
      <c r="F388">
        <v>954</v>
      </c>
      <c r="G388">
        <v>333</v>
      </c>
      <c r="H388">
        <f>Sales[[#This Row],[Turnover]]-Sales[[#This Row],[Cost]]</f>
        <v>621</v>
      </c>
      <c r="I388" s="3">
        <f>Sales[[#This Row],[Turnover]]*1000/Sales[[#This Row],[Quantity]]</f>
        <v>3469.090909090909</v>
      </c>
      <c r="J388" s="5">
        <f>Sales[[#This Row],[Quantity]]/SUM(Sales[Quantity])</f>
        <v>4.9919131007767422E-4</v>
      </c>
    </row>
    <row r="389" spans="1:10" x14ac:dyDescent="0.25">
      <c r="A389" t="s">
        <v>26</v>
      </c>
      <c r="B389" t="s">
        <v>20</v>
      </c>
      <c r="C389" t="s">
        <v>14</v>
      </c>
      <c r="D389">
        <v>2019</v>
      </c>
      <c r="E389">
        <v>300</v>
      </c>
      <c r="F389">
        <v>1041</v>
      </c>
      <c r="G389">
        <v>364</v>
      </c>
      <c r="H389">
        <f>Sales[[#This Row],[Turnover]]-Sales[[#This Row],[Cost]]</f>
        <v>677</v>
      </c>
      <c r="I389" s="3">
        <f>Sales[[#This Row],[Turnover]]*1000/Sales[[#This Row],[Quantity]]</f>
        <v>3470</v>
      </c>
      <c r="J389" s="5">
        <f>Sales[[#This Row],[Quantity]]/SUM(Sales[Quantity])</f>
        <v>5.4457233826655366E-4</v>
      </c>
    </row>
    <row r="390" spans="1:10" x14ac:dyDescent="0.25">
      <c r="A390" t="s">
        <v>26</v>
      </c>
      <c r="B390" t="s">
        <v>20</v>
      </c>
      <c r="C390" t="s">
        <v>2</v>
      </c>
      <c r="D390">
        <v>2019</v>
      </c>
      <c r="E390">
        <v>292</v>
      </c>
      <c r="F390">
        <v>1017</v>
      </c>
      <c r="G390">
        <v>354</v>
      </c>
      <c r="H390">
        <f>Sales[[#This Row],[Turnover]]-Sales[[#This Row],[Cost]]</f>
        <v>663</v>
      </c>
      <c r="I390" s="3">
        <f>Sales[[#This Row],[Turnover]]*1000/Sales[[#This Row],[Quantity]]</f>
        <v>3482.8767123287671</v>
      </c>
      <c r="J390" s="5">
        <f>Sales[[#This Row],[Quantity]]/SUM(Sales[Quantity])</f>
        <v>5.3005040924611216E-4</v>
      </c>
    </row>
    <row r="391" spans="1:10" x14ac:dyDescent="0.25">
      <c r="A391" t="s">
        <v>26</v>
      </c>
      <c r="B391" t="s">
        <v>20</v>
      </c>
      <c r="C391" t="s">
        <v>3</v>
      </c>
      <c r="D391">
        <v>2019</v>
      </c>
      <c r="E391">
        <v>263</v>
      </c>
      <c r="F391">
        <v>914</v>
      </c>
      <c r="G391">
        <v>319</v>
      </c>
      <c r="H391">
        <f>Sales[[#This Row],[Turnover]]-Sales[[#This Row],[Cost]]</f>
        <v>595</v>
      </c>
      <c r="I391" s="3">
        <f>Sales[[#This Row],[Turnover]]*1000/Sales[[#This Row],[Quantity]]</f>
        <v>3475.2851711026615</v>
      </c>
      <c r="J391" s="5">
        <f>Sales[[#This Row],[Quantity]]/SUM(Sales[Quantity])</f>
        <v>4.7740841654701202E-4</v>
      </c>
    </row>
    <row r="392" spans="1:10" x14ac:dyDescent="0.25">
      <c r="A392" t="s">
        <v>26</v>
      </c>
      <c r="B392" t="s">
        <v>20</v>
      </c>
      <c r="C392" t="s">
        <v>18</v>
      </c>
      <c r="D392">
        <v>2019</v>
      </c>
      <c r="E392">
        <v>193</v>
      </c>
      <c r="F392">
        <v>674</v>
      </c>
      <c r="G392">
        <v>234</v>
      </c>
      <c r="H392">
        <f>Sales[[#This Row],[Turnover]]-Sales[[#This Row],[Cost]]</f>
        <v>440</v>
      </c>
      <c r="I392" s="3">
        <f>Sales[[#This Row],[Turnover]]*1000/Sales[[#This Row],[Quantity]]</f>
        <v>3492.2279792746112</v>
      </c>
      <c r="J392" s="5">
        <f>Sales[[#This Row],[Quantity]]/SUM(Sales[Quantity])</f>
        <v>3.5034153761814949E-4</v>
      </c>
    </row>
    <row r="393" spans="1:10" x14ac:dyDescent="0.25">
      <c r="A393" t="s">
        <v>29</v>
      </c>
      <c r="B393" t="s">
        <v>20</v>
      </c>
      <c r="C393" t="s">
        <v>12</v>
      </c>
      <c r="D393">
        <v>2019</v>
      </c>
      <c r="E393">
        <v>274</v>
      </c>
      <c r="F393">
        <v>1124</v>
      </c>
      <c r="G393">
        <v>393</v>
      </c>
      <c r="H393">
        <f>Sales[[#This Row],[Turnover]]-Sales[[#This Row],[Cost]]</f>
        <v>731</v>
      </c>
      <c r="I393" s="3">
        <f>Sales[[#This Row],[Turnover]]*1000/Sales[[#This Row],[Quantity]]</f>
        <v>4102.1897810218979</v>
      </c>
      <c r="J393" s="5">
        <f>Sales[[#This Row],[Quantity]]/SUM(Sales[Quantity])</f>
        <v>4.9737606895011895E-4</v>
      </c>
    </row>
    <row r="394" spans="1:10" x14ac:dyDescent="0.25">
      <c r="A394" t="s">
        <v>29</v>
      </c>
      <c r="B394" t="s">
        <v>20</v>
      </c>
      <c r="C394" t="s">
        <v>13</v>
      </c>
      <c r="D394">
        <v>2019</v>
      </c>
      <c r="E394">
        <v>252</v>
      </c>
      <c r="F394">
        <v>1026</v>
      </c>
      <c r="G394">
        <v>360</v>
      </c>
      <c r="H394">
        <f>Sales[[#This Row],[Turnover]]-Sales[[#This Row],[Cost]]</f>
        <v>666</v>
      </c>
      <c r="I394" s="3">
        <f>Sales[[#This Row],[Turnover]]*1000/Sales[[#This Row],[Quantity]]</f>
        <v>4071.4285714285716</v>
      </c>
      <c r="J394" s="5">
        <f>Sales[[#This Row],[Quantity]]/SUM(Sales[Quantity])</f>
        <v>4.5744076414390504E-4</v>
      </c>
    </row>
    <row r="395" spans="1:10" x14ac:dyDescent="0.25">
      <c r="A395" t="s">
        <v>29</v>
      </c>
      <c r="B395" t="s">
        <v>20</v>
      </c>
      <c r="C395" t="s">
        <v>16</v>
      </c>
      <c r="D395">
        <v>2019</v>
      </c>
      <c r="E395">
        <v>306</v>
      </c>
      <c r="F395">
        <v>1262</v>
      </c>
      <c r="G395">
        <v>438</v>
      </c>
      <c r="H395">
        <f>Sales[[#This Row],[Turnover]]-Sales[[#This Row],[Cost]]</f>
        <v>824</v>
      </c>
      <c r="I395" s="3">
        <f>Sales[[#This Row],[Turnover]]*1000/Sales[[#This Row],[Quantity]]</f>
        <v>4124.1830065359482</v>
      </c>
      <c r="J395" s="5">
        <f>Sales[[#This Row],[Quantity]]/SUM(Sales[Quantity])</f>
        <v>5.5546378503188473E-4</v>
      </c>
    </row>
    <row r="396" spans="1:10" x14ac:dyDescent="0.25">
      <c r="A396" t="s">
        <v>29</v>
      </c>
      <c r="B396" t="s">
        <v>20</v>
      </c>
      <c r="C396" t="s">
        <v>1</v>
      </c>
      <c r="D396">
        <v>2019</v>
      </c>
      <c r="E396">
        <v>295</v>
      </c>
      <c r="F396">
        <v>1219</v>
      </c>
      <c r="G396">
        <v>422</v>
      </c>
      <c r="H396">
        <f>Sales[[#This Row],[Turnover]]-Sales[[#This Row],[Cost]]</f>
        <v>797</v>
      </c>
      <c r="I396" s="3">
        <f>Sales[[#This Row],[Turnover]]*1000/Sales[[#This Row],[Quantity]]</f>
        <v>4132.2033898305081</v>
      </c>
      <c r="J396" s="5">
        <f>Sales[[#This Row],[Quantity]]/SUM(Sales[Quantity])</f>
        <v>5.3549613262877775E-4</v>
      </c>
    </row>
    <row r="397" spans="1:10" x14ac:dyDescent="0.25">
      <c r="A397" t="s">
        <v>29</v>
      </c>
      <c r="B397" t="s">
        <v>20</v>
      </c>
      <c r="C397" t="s">
        <v>17</v>
      </c>
      <c r="D397">
        <v>2019</v>
      </c>
      <c r="E397">
        <v>283</v>
      </c>
      <c r="F397">
        <v>1169</v>
      </c>
      <c r="G397">
        <v>405</v>
      </c>
      <c r="H397">
        <f>Sales[[#This Row],[Turnover]]-Sales[[#This Row],[Cost]]</f>
        <v>764</v>
      </c>
      <c r="I397" s="3">
        <f>Sales[[#This Row],[Turnover]]*1000/Sales[[#This Row],[Quantity]]</f>
        <v>4130.7420494699645</v>
      </c>
      <c r="J397" s="5">
        <f>Sales[[#This Row],[Quantity]]/SUM(Sales[Quantity])</f>
        <v>5.1371323909811561E-4</v>
      </c>
    </row>
    <row r="398" spans="1:10" x14ac:dyDescent="0.25">
      <c r="A398" t="s">
        <v>29</v>
      </c>
      <c r="B398" t="s">
        <v>20</v>
      </c>
      <c r="C398" t="s">
        <v>15</v>
      </c>
      <c r="D398">
        <v>2019</v>
      </c>
      <c r="E398">
        <v>292</v>
      </c>
      <c r="F398">
        <v>1199</v>
      </c>
      <c r="G398">
        <v>418</v>
      </c>
      <c r="H398">
        <f>Sales[[#This Row],[Turnover]]-Sales[[#This Row],[Cost]]</f>
        <v>781</v>
      </c>
      <c r="I398" s="3">
        <f>Sales[[#This Row],[Turnover]]*1000/Sales[[#This Row],[Quantity]]</f>
        <v>4106.1643835616442</v>
      </c>
      <c r="J398" s="5">
        <f>Sales[[#This Row],[Quantity]]/SUM(Sales[Quantity])</f>
        <v>5.3005040924611216E-4</v>
      </c>
    </row>
    <row r="399" spans="1:10" x14ac:dyDescent="0.25">
      <c r="A399" t="s">
        <v>29</v>
      </c>
      <c r="B399" t="s">
        <v>20</v>
      </c>
      <c r="C399" t="s">
        <v>14</v>
      </c>
      <c r="D399">
        <v>2019</v>
      </c>
      <c r="E399">
        <v>291</v>
      </c>
      <c r="F399">
        <v>1190</v>
      </c>
      <c r="G399">
        <v>417</v>
      </c>
      <c r="H399">
        <f>Sales[[#This Row],[Turnover]]-Sales[[#This Row],[Cost]]</f>
        <v>773</v>
      </c>
      <c r="I399" s="3">
        <f>Sales[[#This Row],[Turnover]]*1000/Sales[[#This Row],[Quantity]]</f>
        <v>4089.3470790378005</v>
      </c>
      <c r="J399" s="5">
        <f>Sales[[#This Row],[Quantity]]/SUM(Sales[Quantity])</f>
        <v>5.28235168118557E-4</v>
      </c>
    </row>
    <row r="400" spans="1:10" x14ac:dyDescent="0.25">
      <c r="A400" t="s">
        <v>29</v>
      </c>
      <c r="B400" t="s">
        <v>20</v>
      </c>
      <c r="C400" t="s">
        <v>2</v>
      </c>
      <c r="D400">
        <v>2019</v>
      </c>
      <c r="E400">
        <v>261</v>
      </c>
      <c r="F400">
        <v>1061</v>
      </c>
      <c r="G400">
        <v>373</v>
      </c>
      <c r="H400">
        <f>Sales[[#This Row],[Turnover]]-Sales[[#This Row],[Cost]]</f>
        <v>688</v>
      </c>
      <c r="I400" s="3">
        <f>Sales[[#This Row],[Turnover]]*1000/Sales[[#This Row],[Quantity]]</f>
        <v>4065.1340996168583</v>
      </c>
      <c r="J400" s="5">
        <f>Sales[[#This Row],[Quantity]]/SUM(Sales[Quantity])</f>
        <v>4.7377793429190164E-4</v>
      </c>
    </row>
    <row r="401" spans="1:10" x14ac:dyDescent="0.25">
      <c r="A401" t="s">
        <v>29</v>
      </c>
      <c r="B401" t="s">
        <v>20</v>
      </c>
      <c r="C401" t="s">
        <v>3</v>
      </c>
      <c r="D401">
        <v>2019</v>
      </c>
      <c r="E401">
        <v>245</v>
      </c>
      <c r="F401">
        <v>998</v>
      </c>
      <c r="G401">
        <v>350</v>
      </c>
      <c r="H401">
        <f>Sales[[#This Row],[Turnover]]-Sales[[#This Row],[Cost]]</f>
        <v>648</v>
      </c>
      <c r="I401" s="3">
        <f>Sales[[#This Row],[Turnover]]*1000/Sales[[#This Row],[Quantity]]</f>
        <v>4073.4693877551022</v>
      </c>
      <c r="J401" s="5">
        <f>Sales[[#This Row],[Quantity]]/SUM(Sales[Quantity])</f>
        <v>4.4473407625101881E-4</v>
      </c>
    </row>
    <row r="402" spans="1:10" x14ac:dyDescent="0.25">
      <c r="A402" t="s">
        <v>29</v>
      </c>
      <c r="B402" t="s">
        <v>20</v>
      </c>
      <c r="C402" t="s">
        <v>18</v>
      </c>
      <c r="D402">
        <v>2019</v>
      </c>
      <c r="E402">
        <v>268</v>
      </c>
      <c r="F402">
        <v>1107</v>
      </c>
      <c r="G402">
        <v>384</v>
      </c>
      <c r="H402">
        <f>Sales[[#This Row],[Turnover]]-Sales[[#This Row],[Cost]]</f>
        <v>723</v>
      </c>
      <c r="I402" s="3">
        <f>Sales[[#This Row],[Turnover]]*1000/Sales[[#This Row],[Quantity]]</f>
        <v>4130.5970149253735</v>
      </c>
      <c r="J402" s="5">
        <f>Sales[[#This Row],[Quantity]]/SUM(Sales[Quantity])</f>
        <v>4.8648462218478793E-4</v>
      </c>
    </row>
    <row r="403" spans="1:10" x14ac:dyDescent="0.25">
      <c r="A403" t="s">
        <v>27</v>
      </c>
      <c r="B403" t="s">
        <v>20</v>
      </c>
      <c r="C403" t="s">
        <v>12</v>
      </c>
      <c r="D403">
        <v>2020</v>
      </c>
      <c r="E403">
        <v>625</v>
      </c>
      <c r="F403">
        <v>373</v>
      </c>
      <c r="G403">
        <v>364</v>
      </c>
      <c r="H403">
        <f>Sales[[#This Row],[Turnover]]-Sales[[#This Row],[Cost]]</f>
        <v>9</v>
      </c>
      <c r="I403" s="3">
        <f>Sales[[#This Row],[Turnover]]*1000/Sales[[#This Row],[Quantity]]</f>
        <v>596.79999999999995</v>
      </c>
      <c r="J403" s="5">
        <f>Sales[[#This Row],[Quantity]]/SUM(Sales[Quantity])</f>
        <v>1.1345257047219867E-3</v>
      </c>
    </row>
    <row r="404" spans="1:10" x14ac:dyDescent="0.25">
      <c r="A404" t="s">
        <v>27</v>
      </c>
      <c r="B404" t="s">
        <v>20</v>
      </c>
      <c r="C404" t="s">
        <v>13</v>
      </c>
      <c r="D404">
        <v>2020</v>
      </c>
      <c r="E404">
        <v>763</v>
      </c>
      <c r="F404">
        <v>455</v>
      </c>
      <c r="G404">
        <v>444</v>
      </c>
      <c r="H404">
        <f>Sales[[#This Row],[Turnover]]-Sales[[#This Row],[Cost]]</f>
        <v>11</v>
      </c>
      <c r="I404" s="3">
        <f>Sales[[#This Row],[Turnover]]*1000/Sales[[#This Row],[Quantity]]</f>
        <v>596.33027522935777</v>
      </c>
      <c r="J404" s="5">
        <f>Sales[[#This Row],[Quantity]]/SUM(Sales[Quantity])</f>
        <v>1.3850289803246014E-3</v>
      </c>
    </row>
    <row r="405" spans="1:10" x14ac:dyDescent="0.25">
      <c r="A405" t="s">
        <v>27</v>
      </c>
      <c r="B405" t="s">
        <v>20</v>
      </c>
      <c r="C405" t="s">
        <v>16</v>
      </c>
      <c r="D405">
        <v>2020</v>
      </c>
      <c r="E405">
        <v>649</v>
      </c>
      <c r="F405">
        <v>386</v>
      </c>
      <c r="G405">
        <v>378</v>
      </c>
      <c r="H405">
        <f>Sales[[#This Row],[Turnover]]-Sales[[#This Row],[Cost]]</f>
        <v>8</v>
      </c>
      <c r="I405" s="3">
        <f>Sales[[#This Row],[Turnover]]*1000/Sales[[#This Row],[Quantity]]</f>
        <v>594.76117103235742</v>
      </c>
      <c r="J405" s="5">
        <f>Sales[[#This Row],[Quantity]]/SUM(Sales[Quantity])</f>
        <v>1.1780914917833109E-3</v>
      </c>
    </row>
    <row r="406" spans="1:10" x14ac:dyDescent="0.25">
      <c r="A406" t="s">
        <v>27</v>
      </c>
      <c r="B406" t="s">
        <v>20</v>
      </c>
      <c r="C406" t="s">
        <v>1</v>
      </c>
      <c r="D406">
        <v>2020</v>
      </c>
      <c r="E406">
        <v>588</v>
      </c>
      <c r="F406">
        <v>349</v>
      </c>
      <c r="G406">
        <v>342</v>
      </c>
      <c r="H406">
        <f>Sales[[#This Row],[Turnover]]-Sales[[#This Row],[Cost]]</f>
        <v>7</v>
      </c>
      <c r="I406" s="3">
        <f>Sales[[#This Row],[Turnover]]*1000/Sales[[#This Row],[Quantity]]</f>
        <v>593.53741496598639</v>
      </c>
      <c r="J406" s="5">
        <f>Sales[[#This Row],[Quantity]]/SUM(Sales[Quantity])</f>
        <v>1.0673617830024452E-3</v>
      </c>
    </row>
    <row r="407" spans="1:10" x14ac:dyDescent="0.25">
      <c r="A407" t="s">
        <v>27</v>
      </c>
      <c r="B407" t="s">
        <v>20</v>
      </c>
      <c r="C407" t="s">
        <v>17</v>
      </c>
      <c r="D407">
        <v>2020</v>
      </c>
      <c r="E407">
        <v>530</v>
      </c>
      <c r="F407">
        <v>320</v>
      </c>
      <c r="G407">
        <v>308</v>
      </c>
      <c r="H407">
        <f>Sales[[#This Row],[Turnover]]-Sales[[#This Row],[Cost]]</f>
        <v>12</v>
      </c>
      <c r="I407" s="3">
        <f>Sales[[#This Row],[Turnover]]*1000/Sales[[#This Row],[Quantity]]</f>
        <v>603.77358490566041</v>
      </c>
      <c r="J407" s="5">
        <f>Sales[[#This Row],[Quantity]]/SUM(Sales[Quantity])</f>
        <v>9.6207779760424479E-4</v>
      </c>
    </row>
    <row r="408" spans="1:10" x14ac:dyDescent="0.25">
      <c r="A408" t="s">
        <v>27</v>
      </c>
      <c r="B408" t="s">
        <v>20</v>
      </c>
      <c r="C408" t="s">
        <v>15</v>
      </c>
      <c r="D408">
        <v>2020</v>
      </c>
      <c r="E408">
        <v>518</v>
      </c>
      <c r="F408">
        <v>308</v>
      </c>
      <c r="G408">
        <v>301</v>
      </c>
      <c r="H408">
        <f>Sales[[#This Row],[Turnover]]-Sales[[#This Row],[Cost]]</f>
        <v>7</v>
      </c>
      <c r="I408" s="3">
        <f>Sales[[#This Row],[Turnover]]*1000/Sales[[#This Row],[Quantity]]</f>
        <v>594.59459459459458</v>
      </c>
      <c r="J408" s="5">
        <f>Sales[[#This Row],[Quantity]]/SUM(Sales[Quantity])</f>
        <v>9.4029490407358265E-4</v>
      </c>
    </row>
    <row r="409" spans="1:10" x14ac:dyDescent="0.25">
      <c r="A409" t="s">
        <v>27</v>
      </c>
      <c r="B409" t="s">
        <v>20</v>
      </c>
      <c r="C409" t="s">
        <v>14</v>
      </c>
      <c r="D409">
        <v>2020</v>
      </c>
      <c r="E409">
        <v>502</v>
      </c>
      <c r="F409">
        <v>300</v>
      </c>
      <c r="G409">
        <v>292</v>
      </c>
      <c r="H409">
        <f>Sales[[#This Row],[Turnover]]-Sales[[#This Row],[Cost]]</f>
        <v>8</v>
      </c>
      <c r="I409" s="3">
        <f>Sales[[#This Row],[Turnover]]*1000/Sales[[#This Row],[Quantity]]</f>
        <v>597.60956175298804</v>
      </c>
      <c r="J409" s="5">
        <f>Sales[[#This Row],[Quantity]]/SUM(Sales[Quantity])</f>
        <v>9.1125104603269975E-4</v>
      </c>
    </row>
    <row r="410" spans="1:10" x14ac:dyDescent="0.25">
      <c r="A410" t="s">
        <v>27</v>
      </c>
      <c r="B410" t="s">
        <v>20</v>
      </c>
      <c r="C410" t="s">
        <v>2</v>
      </c>
      <c r="D410">
        <v>2020</v>
      </c>
      <c r="E410">
        <v>520</v>
      </c>
      <c r="F410">
        <v>312</v>
      </c>
      <c r="G410">
        <v>302</v>
      </c>
      <c r="H410">
        <f>Sales[[#This Row],[Turnover]]-Sales[[#This Row],[Cost]]</f>
        <v>10</v>
      </c>
      <c r="I410" s="3">
        <f>Sales[[#This Row],[Turnover]]*1000/Sales[[#This Row],[Quantity]]</f>
        <v>600</v>
      </c>
      <c r="J410" s="5">
        <f>Sales[[#This Row],[Quantity]]/SUM(Sales[Quantity])</f>
        <v>9.4392538632869297E-4</v>
      </c>
    </row>
    <row r="411" spans="1:10" x14ac:dyDescent="0.25">
      <c r="A411" t="s">
        <v>27</v>
      </c>
      <c r="B411" t="s">
        <v>20</v>
      </c>
      <c r="C411" t="s">
        <v>3</v>
      </c>
      <c r="D411">
        <v>2020</v>
      </c>
      <c r="E411">
        <v>544</v>
      </c>
      <c r="F411">
        <v>326</v>
      </c>
      <c r="G411">
        <v>316</v>
      </c>
      <c r="H411">
        <f>Sales[[#This Row],[Turnover]]-Sales[[#This Row],[Cost]]</f>
        <v>10</v>
      </c>
      <c r="I411" s="3">
        <f>Sales[[#This Row],[Turnover]]*1000/Sales[[#This Row],[Quantity]]</f>
        <v>599.26470588235293</v>
      </c>
      <c r="J411" s="5">
        <f>Sales[[#This Row],[Quantity]]/SUM(Sales[Quantity])</f>
        <v>9.8749117339001725E-4</v>
      </c>
    </row>
    <row r="412" spans="1:10" x14ac:dyDescent="0.25">
      <c r="A412" t="s">
        <v>27</v>
      </c>
      <c r="B412" t="s">
        <v>20</v>
      </c>
      <c r="C412" t="s">
        <v>18</v>
      </c>
      <c r="D412">
        <v>2020</v>
      </c>
      <c r="E412">
        <v>410</v>
      </c>
      <c r="F412">
        <v>247</v>
      </c>
      <c r="G412">
        <v>239</v>
      </c>
      <c r="H412">
        <f>Sales[[#This Row],[Turnover]]-Sales[[#This Row],[Cost]]</f>
        <v>8</v>
      </c>
      <c r="I412" s="3">
        <f>Sales[[#This Row],[Turnover]]*1000/Sales[[#This Row],[Quantity]]</f>
        <v>602.43902439024396</v>
      </c>
      <c r="J412" s="5">
        <f>Sales[[#This Row],[Quantity]]/SUM(Sales[Quantity])</f>
        <v>7.4424886229762326E-4</v>
      </c>
    </row>
    <row r="413" spans="1:10" x14ac:dyDescent="0.25">
      <c r="A413" t="s">
        <v>27</v>
      </c>
      <c r="B413" t="s">
        <v>20</v>
      </c>
      <c r="C413" t="s">
        <v>4</v>
      </c>
      <c r="D413">
        <v>2020</v>
      </c>
      <c r="E413">
        <v>432</v>
      </c>
      <c r="F413">
        <v>257</v>
      </c>
      <c r="G413">
        <v>251</v>
      </c>
      <c r="H413">
        <f>Sales[[#This Row],[Turnover]]-Sales[[#This Row],[Cost]]</f>
        <v>6</v>
      </c>
      <c r="I413" s="3">
        <f>Sales[[#This Row],[Turnover]]*1000/Sales[[#This Row],[Quantity]]</f>
        <v>594.90740740740739</v>
      </c>
      <c r="J413" s="5">
        <f>Sales[[#This Row],[Quantity]]/SUM(Sales[Quantity])</f>
        <v>7.8418416710383722E-4</v>
      </c>
    </row>
    <row r="414" spans="1:10" x14ac:dyDescent="0.25">
      <c r="A414" t="s">
        <v>27</v>
      </c>
      <c r="B414" t="s">
        <v>20</v>
      </c>
      <c r="C414" t="s">
        <v>19</v>
      </c>
      <c r="D414">
        <v>2020</v>
      </c>
      <c r="E414">
        <v>408</v>
      </c>
      <c r="F414">
        <v>244</v>
      </c>
      <c r="G414">
        <v>237</v>
      </c>
      <c r="H414">
        <f>Sales[[#This Row],[Turnover]]-Sales[[#This Row],[Cost]]</f>
        <v>7</v>
      </c>
      <c r="I414" s="3">
        <f>Sales[[#This Row],[Turnover]]*1000/Sales[[#This Row],[Quantity]]</f>
        <v>598.03921568627447</v>
      </c>
      <c r="J414" s="5">
        <f>Sales[[#This Row],[Quantity]]/SUM(Sales[Quantity])</f>
        <v>7.4061838004251294E-4</v>
      </c>
    </row>
    <row r="415" spans="1:10" x14ac:dyDescent="0.25">
      <c r="A415" t="s">
        <v>28</v>
      </c>
      <c r="B415" t="s">
        <v>20</v>
      </c>
      <c r="C415" t="s">
        <v>12</v>
      </c>
      <c r="D415">
        <v>2020</v>
      </c>
      <c r="E415">
        <v>539</v>
      </c>
      <c r="F415">
        <v>374</v>
      </c>
      <c r="G415">
        <v>325</v>
      </c>
      <c r="H415">
        <f>Sales[[#This Row],[Turnover]]-Sales[[#This Row],[Cost]]</f>
        <v>49</v>
      </c>
      <c r="I415" s="3">
        <f>Sales[[#This Row],[Turnover]]*1000/Sales[[#This Row],[Quantity]]</f>
        <v>693.87755102040819</v>
      </c>
      <c r="J415" s="5">
        <f>Sales[[#This Row],[Quantity]]/SUM(Sales[Quantity])</f>
        <v>9.7841496775224134E-4</v>
      </c>
    </row>
    <row r="416" spans="1:10" x14ac:dyDescent="0.25">
      <c r="A416" t="s">
        <v>28</v>
      </c>
      <c r="B416" t="s">
        <v>20</v>
      </c>
      <c r="C416" t="s">
        <v>13</v>
      </c>
      <c r="D416">
        <v>2020</v>
      </c>
      <c r="E416">
        <v>521</v>
      </c>
      <c r="F416">
        <v>367</v>
      </c>
      <c r="G416">
        <v>314</v>
      </c>
      <c r="H416">
        <f>Sales[[#This Row],[Turnover]]-Sales[[#This Row],[Cost]]</f>
        <v>53</v>
      </c>
      <c r="I416" s="3">
        <f>Sales[[#This Row],[Turnover]]*1000/Sales[[#This Row],[Quantity]]</f>
        <v>704.41458733205377</v>
      </c>
      <c r="J416" s="5">
        <f>Sales[[#This Row],[Quantity]]/SUM(Sales[Quantity])</f>
        <v>9.4574062745624813E-4</v>
      </c>
    </row>
    <row r="417" spans="1:10" x14ac:dyDescent="0.25">
      <c r="A417" t="s">
        <v>28</v>
      </c>
      <c r="B417" t="s">
        <v>20</v>
      </c>
      <c r="C417" t="s">
        <v>16</v>
      </c>
      <c r="D417">
        <v>2020</v>
      </c>
      <c r="E417">
        <v>519</v>
      </c>
      <c r="F417">
        <v>361</v>
      </c>
      <c r="G417">
        <v>312</v>
      </c>
      <c r="H417">
        <f>Sales[[#This Row],[Turnover]]-Sales[[#This Row],[Cost]]</f>
        <v>49</v>
      </c>
      <c r="I417" s="3">
        <f>Sales[[#This Row],[Turnover]]*1000/Sales[[#This Row],[Quantity]]</f>
        <v>695.56840077071286</v>
      </c>
      <c r="J417" s="5">
        <f>Sales[[#This Row],[Quantity]]/SUM(Sales[Quantity])</f>
        <v>9.4211014520113781E-4</v>
      </c>
    </row>
    <row r="418" spans="1:10" x14ac:dyDescent="0.25">
      <c r="A418" t="s">
        <v>28</v>
      </c>
      <c r="B418" t="s">
        <v>20</v>
      </c>
      <c r="C418" t="s">
        <v>1</v>
      </c>
      <c r="D418">
        <v>2020</v>
      </c>
      <c r="E418">
        <v>461</v>
      </c>
      <c r="F418">
        <v>325</v>
      </c>
      <c r="G418">
        <v>278</v>
      </c>
      <c r="H418">
        <f>Sales[[#This Row],[Turnover]]-Sales[[#This Row],[Cost]]</f>
        <v>47</v>
      </c>
      <c r="I418" s="3">
        <f>Sales[[#This Row],[Turnover]]*1000/Sales[[#This Row],[Quantity]]</f>
        <v>704.9891540130152</v>
      </c>
      <c r="J418" s="5">
        <f>Sales[[#This Row],[Quantity]]/SUM(Sales[Quantity])</f>
        <v>8.3682615980293742E-4</v>
      </c>
    </row>
    <row r="419" spans="1:10" x14ac:dyDescent="0.25">
      <c r="A419" t="s">
        <v>28</v>
      </c>
      <c r="B419" t="s">
        <v>20</v>
      </c>
      <c r="C419" t="s">
        <v>17</v>
      </c>
      <c r="D419">
        <v>2020</v>
      </c>
      <c r="E419">
        <v>533</v>
      </c>
      <c r="F419">
        <v>372</v>
      </c>
      <c r="G419">
        <v>321</v>
      </c>
      <c r="H419">
        <f>Sales[[#This Row],[Turnover]]-Sales[[#This Row],[Cost]]</f>
        <v>51</v>
      </c>
      <c r="I419" s="3">
        <f>Sales[[#This Row],[Turnover]]*1000/Sales[[#This Row],[Quantity]]</f>
        <v>697.93621013133213</v>
      </c>
      <c r="J419" s="5">
        <f>Sales[[#This Row],[Quantity]]/SUM(Sales[Quantity])</f>
        <v>9.6752352098691027E-4</v>
      </c>
    </row>
    <row r="420" spans="1:10" x14ac:dyDescent="0.25">
      <c r="A420" t="s">
        <v>28</v>
      </c>
      <c r="B420" t="s">
        <v>20</v>
      </c>
      <c r="C420" t="s">
        <v>15</v>
      </c>
      <c r="D420">
        <v>2020</v>
      </c>
      <c r="E420">
        <v>452</v>
      </c>
      <c r="F420">
        <v>316</v>
      </c>
      <c r="G420">
        <v>272</v>
      </c>
      <c r="H420">
        <f>Sales[[#This Row],[Turnover]]-Sales[[#This Row],[Cost]]</f>
        <v>44</v>
      </c>
      <c r="I420" s="3">
        <f>Sales[[#This Row],[Turnover]]*1000/Sales[[#This Row],[Quantity]]</f>
        <v>699.11504424778764</v>
      </c>
      <c r="J420" s="5">
        <f>Sales[[#This Row],[Quantity]]/SUM(Sales[Quantity])</f>
        <v>8.2048898965494086E-4</v>
      </c>
    </row>
    <row r="421" spans="1:10" x14ac:dyDescent="0.25">
      <c r="A421" t="s">
        <v>28</v>
      </c>
      <c r="B421" t="s">
        <v>20</v>
      </c>
      <c r="C421" t="s">
        <v>14</v>
      </c>
      <c r="D421">
        <v>2020</v>
      </c>
      <c r="E421">
        <v>498</v>
      </c>
      <c r="F421">
        <v>348</v>
      </c>
      <c r="G421">
        <v>299</v>
      </c>
      <c r="H421">
        <f>Sales[[#This Row],[Turnover]]-Sales[[#This Row],[Cost]]</f>
        <v>49</v>
      </c>
      <c r="I421" s="3">
        <f>Sales[[#This Row],[Turnover]]*1000/Sales[[#This Row],[Quantity]]</f>
        <v>698.79518072289159</v>
      </c>
      <c r="J421" s="5">
        <f>Sales[[#This Row],[Quantity]]/SUM(Sales[Quantity])</f>
        <v>9.03990081522479E-4</v>
      </c>
    </row>
    <row r="422" spans="1:10" x14ac:dyDescent="0.25">
      <c r="A422" t="s">
        <v>28</v>
      </c>
      <c r="B422" t="s">
        <v>20</v>
      </c>
      <c r="C422" t="s">
        <v>2</v>
      </c>
      <c r="D422">
        <v>2020</v>
      </c>
      <c r="E422">
        <v>444</v>
      </c>
      <c r="F422">
        <v>313</v>
      </c>
      <c r="G422">
        <v>267</v>
      </c>
      <c r="H422">
        <f>Sales[[#This Row],[Turnover]]-Sales[[#This Row],[Cost]]</f>
        <v>46</v>
      </c>
      <c r="I422" s="3">
        <f>Sales[[#This Row],[Turnover]]*1000/Sales[[#This Row],[Quantity]]</f>
        <v>704.95495495495493</v>
      </c>
      <c r="J422" s="5">
        <f>Sales[[#This Row],[Quantity]]/SUM(Sales[Quantity])</f>
        <v>8.0596706063449936E-4</v>
      </c>
    </row>
    <row r="423" spans="1:10" x14ac:dyDescent="0.25">
      <c r="A423" t="s">
        <v>28</v>
      </c>
      <c r="B423" t="s">
        <v>20</v>
      </c>
      <c r="C423" t="s">
        <v>3</v>
      </c>
      <c r="D423">
        <v>2020</v>
      </c>
      <c r="E423">
        <v>561</v>
      </c>
      <c r="F423">
        <v>394</v>
      </c>
      <c r="G423">
        <v>337</v>
      </c>
      <c r="H423">
        <f>Sales[[#This Row],[Turnover]]-Sales[[#This Row],[Cost]]</f>
        <v>57</v>
      </c>
      <c r="I423" s="3">
        <f>Sales[[#This Row],[Turnover]]*1000/Sales[[#This Row],[Quantity]]</f>
        <v>702.31729055258472</v>
      </c>
      <c r="J423" s="5">
        <f>Sales[[#This Row],[Quantity]]/SUM(Sales[Quantity])</f>
        <v>1.0183502725584553E-3</v>
      </c>
    </row>
    <row r="424" spans="1:10" x14ac:dyDescent="0.25">
      <c r="A424" t="s">
        <v>28</v>
      </c>
      <c r="B424" t="s">
        <v>20</v>
      </c>
      <c r="C424" t="s">
        <v>18</v>
      </c>
      <c r="D424">
        <v>2020</v>
      </c>
      <c r="E424">
        <v>580</v>
      </c>
      <c r="F424">
        <v>406</v>
      </c>
      <c r="G424">
        <v>349</v>
      </c>
      <c r="H424">
        <f>Sales[[#This Row],[Turnover]]-Sales[[#This Row],[Cost]]</f>
        <v>57</v>
      </c>
      <c r="I424" s="3">
        <f>Sales[[#This Row],[Turnover]]*1000/Sales[[#This Row],[Quantity]]</f>
        <v>700</v>
      </c>
      <c r="J424" s="5">
        <f>Sales[[#This Row],[Quantity]]/SUM(Sales[Quantity])</f>
        <v>1.0528398539820037E-3</v>
      </c>
    </row>
    <row r="425" spans="1:10" x14ac:dyDescent="0.25">
      <c r="A425" t="s">
        <v>28</v>
      </c>
      <c r="B425" t="s">
        <v>20</v>
      </c>
      <c r="C425" t="s">
        <v>4</v>
      </c>
      <c r="D425">
        <v>2020</v>
      </c>
      <c r="E425">
        <v>504</v>
      </c>
      <c r="F425">
        <v>356</v>
      </c>
      <c r="G425">
        <v>303</v>
      </c>
      <c r="H425">
        <f>Sales[[#This Row],[Turnover]]-Sales[[#This Row],[Cost]]</f>
        <v>53</v>
      </c>
      <c r="I425" s="3">
        <f>Sales[[#This Row],[Turnover]]*1000/Sales[[#This Row],[Quantity]]</f>
        <v>706.34920634920638</v>
      </c>
      <c r="J425" s="5">
        <f>Sales[[#This Row],[Quantity]]/SUM(Sales[Quantity])</f>
        <v>9.1488152828781007E-4</v>
      </c>
    </row>
    <row r="426" spans="1:10" x14ac:dyDescent="0.25">
      <c r="A426" t="s">
        <v>28</v>
      </c>
      <c r="B426" t="s">
        <v>20</v>
      </c>
      <c r="C426" t="s">
        <v>19</v>
      </c>
      <c r="D426">
        <v>2020</v>
      </c>
      <c r="E426">
        <v>515</v>
      </c>
      <c r="F426">
        <v>358</v>
      </c>
      <c r="G426">
        <v>310</v>
      </c>
      <c r="H426">
        <f>Sales[[#This Row],[Turnover]]-Sales[[#This Row],[Cost]]</f>
        <v>48</v>
      </c>
      <c r="I426" s="3">
        <f>Sales[[#This Row],[Turnover]]*1000/Sales[[#This Row],[Quantity]]</f>
        <v>695.14563106796118</v>
      </c>
      <c r="J426" s="5">
        <f>Sales[[#This Row],[Quantity]]/SUM(Sales[Quantity])</f>
        <v>9.3484918069091706E-4</v>
      </c>
    </row>
    <row r="427" spans="1:10" x14ac:dyDescent="0.25">
      <c r="A427" t="s">
        <v>29</v>
      </c>
      <c r="B427" t="s">
        <v>20</v>
      </c>
      <c r="C427" t="s">
        <v>12</v>
      </c>
      <c r="D427">
        <v>2020</v>
      </c>
      <c r="E427">
        <v>154</v>
      </c>
      <c r="F427">
        <v>1386</v>
      </c>
      <c r="G427">
        <v>498</v>
      </c>
      <c r="H427">
        <f>Sales[[#This Row],[Turnover]]-Sales[[#This Row],[Cost]]</f>
        <v>888</v>
      </c>
      <c r="I427" s="3">
        <f>Sales[[#This Row],[Turnover]]*1000/Sales[[#This Row],[Quantity]]</f>
        <v>9000</v>
      </c>
      <c r="J427" s="5">
        <f>Sales[[#This Row],[Quantity]]/SUM(Sales[Quantity])</f>
        <v>2.7954713364349753E-4</v>
      </c>
    </row>
    <row r="428" spans="1:10" x14ac:dyDescent="0.25">
      <c r="A428" t="s">
        <v>29</v>
      </c>
      <c r="B428" t="s">
        <v>20</v>
      </c>
      <c r="C428" t="s">
        <v>13</v>
      </c>
      <c r="D428">
        <v>2020</v>
      </c>
      <c r="E428">
        <v>194</v>
      </c>
      <c r="F428">
        <v>1763</v>
      </c>
      <c r="G428">
        <v>627</v>
      </c>
      <c r="H428">
        <f>Sales[[#This Row],[Turnover]]-Sales[[#This Row],[Cost]]</f>
        <v>1136</v>
      </c>
      <c r="I428" s="3">
        <f>Sales[[#This Row],[Turnover]]*1000/Sales[[#This Row],[Quantity]]</f>
        <v>9087.6288659793809</v>
      </c>
      <c r="J428" s="5">
        <f>Sales[[#This Row],[Quantity]]/SUM(Sales[Quantity])</f>
        <v>3.521567787457047E-4</v>
      </c>
    </row>
    <row r="429" spans="1:10" x14ac:dyDescent="0.25">
      <c r="A429" t="s">
        <v>29</v>
      </c>
      <c r="B429" t="s">
        <v>20</v>
      </c>
      <c r="C429" t="s">
        <v>16</v>
      </c>
      <c r="D429">
        <v>2020</v>
      </c>
      <c r="E429">
        <v>215</v>
      </c>
      <c r="F429">
        <v>1920</v>
      </c>
      <c r="G429">
        <v>693</v>
      </c>
      <c r="H429">
        <f>Sales[[#This Row],[Turnover]]-Sales[[#This Row],[Cost]]</f>
        <v>1227</v>
      </c>
      <c r="I429" s="3">
        <f>Sales[[#This Row],[Turnover]]*1000/Sales[[#This Row],[Quantity]]</f>
        <v>8930.2325581395344</v>
      </c>
      <c r="J429" s="5">
        <f>Sales[[#This Row],[Quantity]]/SUM(Sales[Quantity])</f>
        <v>3.9027684242436345E-4</v>
      </c>
    </row>
    <row r="430" spans="1:10" x14ac:dyDescent="0.25">
      <c r="A430" t="s">
        <v>29</v>
      </c>
      <c r="B430" t="s">
        <v>20</v>
      </c>
      <c r="C430" t="s">
        <v>1</v>
      </c>
      <c r="D430">
        <v>2020</v>
      </c>
      <c r="E430">
        <v>215</v>
      </c>
      <c r="F430">
        <v>1713</v>
      </c>
      <c r="G430">
        <v>693</v>
      </c>
      <c r="H430">
        <f>Sales[[#This Row],[Turnover]]-Sales[[#This Row],[Cost]]</f>
        <v>1020</v>
      </c>
      <c r="I430" s="3">
        <f>Sales[[#This Row],[Turnover]]*1000/Sales[[#This Row],[Quantity]]</f>
        <v>7967.4418604651164</v>
      </c>
      <c r="J430" s="5">
        <f>Sales[[#This Row],[Quantity]]/SUM(Sales[Quantity])</f>
        <v>3.9027684242436345E-4</v>
      </c>
    </row>
    <row r="431" spans="1:10" x14ac:dyDescent="0.25">
      <c r="A431" t="s">
        <v>29</v>
      </c>
      <c r="B431" t="s">
        <v>20</v>
      </c>
      <c r="C431" t="s">
        <v>17</v>
      </c>
      <c r="D431">
        <v>2020</v>
      </c>
      <c r="E431">
        <v>226</v>
      </c>
      <c r="F431">
        <v>1794</v>
      </c>
      <c r="G431">
        <v>731</v>
      </c>
      <c r="H431">
        <f>Sales[[#This Row],[Turnover]]-Sales[[#This Row],[Cost]]</f>
        <v>1063</v>
      </c>
      <c r="I431" s="3">
        <f>Sales[[#This Row],[Turnover]]*1000/Sales[[#This Row],[Quantity]]</f>
        <v>7938.0530973451323</v>
      </c>
      <c r="J431" s="5">
        <f>Sales[[#This Row],[Quantity]]/SUM(Sales[Quantity])</f>
        <v>4.1024449482747043E-4</v>
      </c>
    </row>
    <row r="432" spans="1:10" x14ac:dyDescent="0.25">
      <c r="A432" t="s">
        <v>29</v>
      </c>
      <c r="B432" t="s">
        <v>20</v>
      </c>
      <c r="C432" t="s">
        <v>15</v>
      </c>
      <c r="D432">
        <v>2020</v>
      </c>
      <c r="E432">
        <v>277</v>
      </c>
      <c r="F432">
        <v>2218</v>
      </c>
      <c r="G432">
        <v>895</v>
      </c>
      <c r="H432">
        <f>Sales[[#This Row],[Turnover]]-Sales[[#This Row],[Cost]]</f>
        <v>1323</v>
      </c>
      <c r="I432" s="3">
        <f>Sales[[#This Row],[Turnover]]*1000/Sales[[#This Row],[Quantity]]</f>
        <v>8007.2202166064981</v>
      </c>
      <c r="J432" s="5">
        <f>Sales[[#This Row],[Quantity]]/SUM(Sales[Quantity])</f>
        <v>5.0282179233278454E-4</v>
      </c>
    </row>
    <row r="433" spans="1:10" x14ac:dyDescent="0.25">
      <c r="A433" t="s">
        <v>29</v>
      </c>
      <c r="B433" t="s">
        <v>20</v>
      </c>
      <c r="C433" t="s">
        <v>14</v>
      </c>
      <c r="D433">
        <v>2020</v>
      </c>
      <c r="E433">
        <v>264</v>
      </c>
      <c r="F433">
        <v>2120</v>
      </c>
      <c r="G433">
        <v>852</v>
      </c>
      <c r="H433">
        <f>Sales[[#This Row],[Turnover]]-Sales[[#This Row],[Cost]]</f>
        <v>1268</v>
      </c>
      <c r="I433" s="3">
        <f>Sales[[#This Row],[Turnover]]*1000/Sales[[#This Row],[Quantity]]</f>
        <v>8030.30303030303</v>
      </c>
      <c r="J433" s="5">
        <f>Sales[[#This Row],[Quantity]]/SUM(Sales[Quantity])</f>
        <v>4.7922365767456718E-4</v>
      </c>
    </row>
    <row r="434" spans="1:10" x14ac:dyDescent="0.25">
      <c r="A434" t="s">
        <v>29</v>
      </c>
      <c r="B434" t="s">
        <v>20</v>
      </c>
      <c r="C434" t="s">
        <v>2</v>
      </c>
      <c r="D434">
        <v>2020</v>
      </c>
      <c r="E434">
        <v>262</v>
      </c>
      <c r="F434">
        <v>2089</v>
      </c>
      <c r="G434">
        <v>846</v>
      </c>
      <c r="H434">
        <f>Sales[[#This Row],[Turnover]]-Sales[[#This Row],[Cost]]</f>
        <v>1243</v>
      </c>
      <c r="I434" s="3">
        <f>Sales[[#This Row],[Turnover]]*1000/Sales[[#This Row],[Quantity]]</f>
        <v>7973.2824427480919</v>
      </c>
      <c r="J434" s="5">
        <f>Sales[[#This Row],[Quantity]]/SUM(Sales[Quantity])</f>
        <v>4.7559317541945686E-4</v>
      </c>
    </row>
    <row r="435" spans="1:10" x14ac:dyDescent="0.25">
      <c r="A435" t="s">
        <v>29</v>
      </c>
      <c r="B435" t="s">
        <v>20</v>
      </c>
      <c r="C435" t="s">
        <v>3</v>
      </c>
      <c r="D435">
        <v>2020</v>
      </c>
      <c r="E435">
        <v>264</v>
      </c>
      <c r="F435">
        <v>2118</v>
      </c>
      <c r="G435">
        <v>851</v>
      </c>
      <c r="H435">
        <f>Sales[[#This Row],[Turnover]]-Sales[[#This Row],[Cost]]</f>
        <v>1267</v>
      </c>
      <c r="I435" s="3">
        <f>Sales[[#This Row],[Turnover]]*1000/Sales[[#This Row],[Quantity]]</f>
        <v>8022.727272727273</v>
      </c>
      <c r="J435" s="5">
        <f>Sales[[#This Row],[Quantity]]/SUM(Sales[Quantity])</f>
        <v>4.7922365767456718E-4</v>
      </c>
    </row>
    <row r="436" spans="1:10" x14ac:dyDescent="0.25">
      <c r="A436" t="s">
        <v>29</v>
      </c>
      <c r="B436" t="s">
        <v>20</v>
      </c>
      <c r="C436" t="s">
        <v>18</v>
      </c>
      <c r="D436">
        <v>2020</v>
      </c>
      <c r="E436">
        <v>251</v>
      </c>
      <c r="F436">
        <v>2003</v>
      </c>
      <c r="G436">
        <v>811</v>
      </c>
      <c r="H436">
        <f>Sales[[#This Row],[Turnover]]-Sales[[#This Row],[Cost]]</f>
        <v>1192</v>
      </c>
      <c r="I436" s="3">
        <f>Sales[[#This Row],[Turnover]]*1000/Sales[[#This Row],[Quantity]]</f>
        <v>7980.0796812749004</v>
      </c>
      <c r="J436" s="5">
        <f>Sales[[#This Row],[Quantity]]/SUM(Sales[Quantity])</f>
        <v>4.5562552301634988E-4</v>
      </c>
    </row>
    <row r="437" spans="1:10" x14ac:dyDescent="0.25">
      <c r="A437" t="s">
        <v>29</v>
      </c>
      <c r="B437" t="s">
        <v>20</v>
      </c>
      <c r="C437" t="s">
        <v>4</v>
      </c>
      <c r="D437">
        <v>2020</v>
      </c>
      <c r="E437">
        <v>228</v>
      </c>
      <c r="F437">
        <v>1821</v>
      </c>
      <c r="G437">
        <v>736</v>
      </c>
      <c r="H437">
        <f>Sales[[#This Row],[Turnover]]-Sales[[#This Row],[Cost]]</f>
        <v>1085</v>
      </c>
      <c r="I437" s="3">
        <f>Sales[[#This Row],[Turnover]]*1000/Sales[[#This Row],[Quantity]]</f>
        <v>7986.8421052631575</v>
      </c>
      <c r="J437" s="5">
        <f>Sales[[#This Row],[Quantity]]/SUM(Sales[Quantity])</f>
        <v>4.1387497708258075E-4</v>
      </c>
    </row>
    <row r="438" spans="1:10" x14ac:dyDescent="0.25">
      <c r="A438" t="s">
        <v>29</v>
      </c>
      <c r="B438" t="s">
        <v>20</v>
      </c>
      <c r="C438" t="s">
        <v>19</v>
      </c>
      <c r="D438">
        <v>2020</v>
      </c>
      <c r="E438">
        <v>272</v>
      </c>
      <c r="F438">
        <v>2158</v>
      </c>
      <c r="G438">
        <v>880</v>
      </c>
      <c r="H438">
        <f>Sales[[#This Row],[Turnover]]-Sales[[#This Row],[Cost]]</f>
        <v>1278</v>
      </c>
      <c r="I438" s="3">
        <f>Sales[[#This Row],[Turnover]]*1000/Sales[[#This Row],[Quantity]]</f>
        <v>7933.8235294117649</v>
      </c>
      <c r="J438" s="5">
        <f>Sales[[#This Row],[Quantity]]/SUM(Sales[Quantity])</f>
        <v>4.9374558669500863E-4</v>
      </c>
    </row>
    <row r="439" spans="1:10" x14ac:dyDescent="0.25">
      <c r="A439" t="s">
        <v>30</v>
      </c>
      <c r="B439" t="s">
        <v>20</v>
      </c>
      <c r="C439" t="s">
        <v>13</v>
      </c>
      <c r="D439">
        <v>2020</v>
      </c>
      <c r="E439">
        <v>232</v>
      </c>
      <c r="F439">
        <v>700</v>
      </c>
      <c r="G439">
        <v>358</v>
      </c>
      <c r="H439">
        <f>Sales[[#This Row],[Turnover]]-Sales[[#This Row],[Cost]]</f>
        <v>342</v>
      </c>
      <c r="I439" s="3">
        <f>Sales[[#This Row],[Turnover]]*1000/Sales[[#This Row],[Quantity]]</f>
        <v>3017.2413793103447</v>
      </c>
      <c r="J439" s="5">
        <f>Sales[[#This Row],[Quantity]]/SUM(Sales[Quantity])</f>
        <v>4.211359415928015E-4</v>
      </c>
    </row>
    <row r="440" spans="1:10" x14ac:dyDescent="0.25">
      <c r="A440" t="s">
        <v>30</v>
      </c>
      <c r="B440" t="s">
        <v>20</v>
      </c>
      <c r="C440" t="s">
        <v>16</v>
      </c>
      <c r="D440">
        <v>2020</v>
      </c>
      <c r="E440">
        <v>248</v>
      </c>
      <c r="F440">
        <v>747</v>
      </c>
      <c r="G440">
        <v>382</v>
      </c>
      <c r="H440">
        <f>Sales[[#This Row],[Turnover]]-Sales[[#This Row],[Cost]]</f>
        <v>365</v>
      </c>
      <c r="I440" s="3">
        <f>Sales[[#This Row],[Turnover]]*1000/Sales[[#This Row],[Quantity]]</f>
        <v>3012.0967741935483</v>
      </c>
      <c r="J440" s="5">
        <f>Sales[[#This Row],[Quantity]]/SUM(Sales[Quantity])</f>
        <v>4.5017979963368434E-4</v>
      </c>
    </row>
    <row r="441" spans="1:10" x14ac:dyDescent="0.25">
      <c r="A441" t="s">
        <v>30</v>
      </c>
      <c r="B441" t="s">
        <v>20</v>
      </c>
      <c r="C441" t="s">
        <v>1</v>
      </c>
      <c r="D441">
        <v>2020</v>
      </c>
      <c r="E441">
        <v>325</v>
      </c>
      <c r="F441">
        <v>970</v>
      </c>
      <c r="G441">
        <v>501</v>
      </c>
      <c r="H441">
        <f>Sales[[#This Row],[Turnover]]-Sales[[#This Row],[Cost]]</f>
        <v>469</v>
      </c>
      <c r="I441" s="3">
        <f>Sales[[#This Row],[Turnover]]*1000/Sales[[#This Row],[Quantity]]</f>
        <v>2984.6153846153848</v>
      </c>
      <c r="J441" s="5">
        <f>Sales[[#This Row],[Quantity]]/SUM(Sales[Quantity])</f>
        <v>5.899533664554331E-4</v>
      </c>
    </row>
    <row r="442" spans="1:10" x14ac:dyDescent="0.25">
      <c r="A442" t="s">
        <v>30</v>
      </c>
      <c r="B442" t="s">
        <v>20</v>
      </c>
      <c r="C442" t="s">
        <v>17</v>
      </c>
      <c r="D442">
        <v>2020</v>
      </c>
      <c r="E442">
        <v>246</v>
      </c>
      <c r="F442">
        <v>738</v>
      </c>
      <c r="G442">
        <v>379</v>
      </c>
      <c r="H442">
        <f>Sales[[#This Row],[Turnover]]-Sales[[#This Row],[Cost]]</f>
        <v>359</v>
      </c>
      <c r="I442" s="3">
        <f>Sales[[#This Row],[Turnover]]*1000/Sales[[#This Row],[Quantity]]</f>
        <v>3000</v>
      </c>
      <c r="J442" s="5">
        <f>Sales[[#This Row],[Quantity]]/SUM(Sales[Quantity])</f>
        <v>4.4654931737857397E-4</v>
      </c>
    </row>
    <row r="443" spans="1:10" x14ac:dyDescent="0.25">
      <c r="A443" t="s">
        <v>30</v>
      </c>
      <c r="B443" t="s">
        <v>20</v>
      </c>
      <c r="C443" t="s">
        <v>15</v>
      </c>
      <c r="D443">
        <v>2020</v>
      </c>
      <c r="E443">
        <v>226</v>
      </c>
      <c r="F443">
        <v>672</v>
      </c>
      <c r="G443">
        <v>348</v>
      </c>
      <c r="H443">
        <f>Sales[[#This Row],[Turnover]]-Sales[[#This Row],[Cost]]</f>
        <v>324</v>
      </c>
      <c r="I443" s="3">
        <f>Sales[[#This Row],[Turnover]]*1000/Sales[[#This Row],[Quantity]]</f>
        <v>2973.4513274336282</v>
      </c>
      <c r="J443" s="5">
        <f>Sales[[#This Row],[Quantity]]/SUM(Sales[Quantity])</f>
        <v>4.1024449482747043E-4</v>
      </c>
    </row>
    <row r="444" spans="1:10" x14ac:dyDescent="0.25">
      <c r="A444" t="s">
        <v>30</v>
      </c>
      <c r="B444" t="s">
        <v>20</v>
      </c>
      <c r="C444" t="s">
        <v>14</v>
      </c>
      <c r="D444">
        <v>2020</v>
      </c>
      <c r="E444">
        <v>382</v>
      </c>
      <c r="F444">
        <v>1060</v>
      </c>
      <c r="G444">
        <v>589</v>
      </c>
      <c r="H444">
        <f>Sales[[#This Row],[Turnover]]-Sales[[#This Row],[Cost]]</f>
        <v>471</v>
      </c>
      <c r="I444" s="3">
        <f>Sales[[#This Row],[Turnover]]*1000/Sales[[#This Row],[Quantity]]</f>
        <v>2774.8691099476441</v>
      </c>
      <c r="J444" s="5">
        <f>Sales[[#This Row],[Quantity]]/SUM(Sales[Quantity])</f>
        <v>6.9342211072607833E-4</v>
      </c>
    </row>
    <row r="445" spans="1:10" x14ac:dyDescent="0.25">
      <c r="A445" t="s">
        <v>30</v>
      </c>
      <c r="B445" t="s">
        <v>20</v>
      </c>
      <c r="C445" t="s">
        <v>2</v>
      </c>
      <c r="D445">
        <v>2020</v>
      </c>
      <c r="E445">
        <v>369</v>
      </c>
      <c r="F445">
        <v>1013</v>
      </c>
      <c r="G445">
        <v>569</v>
      </c>
      <c r="H445">
        <f>Sales[[#This Row],[Turnover]]-Sales[[#This Row],[Cost]]</f>
        <v>444</v>
      </c>
      <c r="I445" s="3">
        <f>Sales[[#This Row],[Turnover]]*1000/Sales[[#This Row],[Quantity]]</f>
        <v>2745.2574525745258</v>
      </c>
      <c r="J445" s="5">
        <f>Sales[[#This Row],[Quantity]]/SUM(Sales[Quantity])</f>
        <v>6.6982397606786092E-4</v>
      </c>
    </row>
    <row r="446" spans="1:10" x14ac:dyDescent="0.25">
      <c r="A446" t="s">
        <v>30</v>
      </c>
      <c r="B446" t="s">
        <v>20</v>
      </c>
      <c r="C446" t="s">
        <v>3</v>
      </c>
      <c r="D446">
        <v>2020</v>
      </c>
      <c r="E446">
        <v>342</v>
      </c>
      <c r="F446">
        <v>939</v>
      </c>
      <c r="G446">
        <v>528</v>
      </c>
      <c r="H446">
        <f>Sales[[#This Row],[Turnover]]-Sales[[#This Row],[Cost]]</f>
        <v>411</v>
      </c>
      <c r="I446" s="3">
        <f>Sales[[#This Row],[Turnover]]*1000/Sales[[#This Row],[Quantity]]</f>
        <v>2745.6140350877195</v>
      </c>
      <c r="J446" s="5">
        <f>Sales[[#This Row],[Quantity]]/SUM(Sales[Quantity])</f>
        <v>6.2081246562387116E-4</v>
      </c>
    </row>
    <row r="447" spans="1:10" x14ac:dyDescent="0.25">
      <c r="A447" t="s">
        <v>30</v>
      </c>
      <c r="B447" t="s">
        <v>20</v>
      </c>
      <c r="C447" t="s">
        <v>18</v>
      </c>
      <c r="D447">
        <v>2020</v>
      </c>
      <c r="E447">
        <v>386</v>
      </c>
      <c r="F447">
        <v>1054</v>
      </c>
      <c r="G447">
        <v>595</v>
      </c>
      <c r="H447">
        <f>Sales[[#This Row],[Turnover]]-Sales[[#This Row],[Cost]]</f>
        <v>459</v>
      </c>
      <c r="I447" s="3">
        <f>Sales[[#This Row],[Turnover]]*1000/Sales[[#This Row],[Quantity]]</f>
        <v>2730.5699481865286</v>
      </c>
      <c r="J447" s="5">
        <f>Sales[[#This Row],[Quantity]]/SUM(Sales[Quantity])</f>
        <v>7.0068307523629898E-4</v>
      </c>
    </row>
    <row r="448" spans="1:10" x14ac:dyDescent="0.25">
      <c r="A448" t="s">
        <v>30</v>
      </c>
      <c r="B448" t="s">
        <v>20</v>
      </c>
      <c r="C448" t="s">
        <v>4</v>
      </c>
      <c r="D448">
        <v>2020</v>
      </c>
      <c r="E448">
        <v>272</v>
      </c>
      <c r="F448">
        <v>752</v>
      </c>
      <c r="G448">
        <v>419</v>
      </c>
      <c r="H448">
        <f>Sales[[#This Row],[Turnover]]-Sales[[#This Row],[Cost]]</f>
        <v>333</v>
      </c>
      <c r="I448" s="3">
        <f>Sales[[#This Row],[Turnover]]*1000/Sales[[#This Row],[Quantity]]</f>
        <v>2764.705882352941</v>
      </c>
      <c r="J448" s="5">
        <f>Sales[[#This Row],[Quantity]]/SUM(Sales[Quantity])</f>
        <v>4.9374558669500863E-4</v>
      </c>
    </row>
    <row r="449" spans="1:10" x14ac:dyDescent="0.25">
      <c r="A449" t="s">
        <v>30</v>
      </c>
      <c r="B449" t="s">
        <v>20</v>
      </c>
      <c r="C449" t="s">
        <v>19</v>
      </c>
      <c r="D449">
        <v>2020</v>
      </c>
      <c r="E449">
        <v>261</v>
      </c>
      <c r="F449">
        <v>725</v>
      </c>
      <c r="G449">
        <v>403</v>
      </c>
      <c r="H449">
        <f>Sales[[#This Row],[Turnover]]-Sales[[#This Row],[Cost]]</f>
        <v>322</v>
      </c>
      <c r="I449" s="3">
        <f>Sales[[#This Row],[Turnover]]*1000/Sales[[#This Row],[Quantity]]</f>
        <v>2777.7777777777778</v>
      </c>
      <c r="J449" s="5">
        <f>Sales[[#This Row],[Quantity]]/SUM(Sales[Quantity])</f>
        <v>4.7377793429190164E-4</v>
      </c>
    </row>
    <row r="450" spans="1:10" x14ac:dyDescent="0.25">
      <c r="A450" t="s">
        <v>26</v>
      </c>
      <c r="B450" t="s">
        <v>20</v>
      </c>
      <c r="C450" t="s">
        <v>17</v>
      </c>
      <c r="D450">
        <v>2020</v>
      </c>
      <c r="E450">
        <v>468</v>
      </c>
      <c r="F450">
        <v>1302</v>
      </c>
      <c r="G450">
        <v>567</v>
      </c>
      <c r="H450">
        <f>Sales[[#This Row],[Turnover]]-Sales[[#This Row],[Cost]]</f>
        <v>735</v>
      </c>
      <c r="I450" s="3">
        <f>Sales[[#This Row],[Turnover]]*1000/Sales[[#This Row],[Quantity]]</f>
        <v>2782.0512820512822</v>
      </c>
      <c r="J450" s="5">
        <f>Sales[[#This Row],[Quantity]]/SUM(Sales[Quantity])</f>
        <v>8.4953284769582365E-4</v>
      </c>
    </row>
    <row r="451" spans="1:10" x14ac:dyDescent="0.25">
      <c r="A451" t="s">
        <v>26</v>
      </c>
      <c r="B451" t="s">
        <v>20</v>
      </c>
      <c r="C451" t="s">
        <v>15</v>
      </c>
      <c r="D451">
        <v>2020</v>
      </c>
      <c r="E451">
        <v>477</v>
      </c>
      <c r="F451">
        <v>1327</v>
      </c>
      <c r="G451">
        <v>578</v>
      </c>
      <c r="H451">
        <f>Sales[[#This Row],[Turnover]]-Sales[[#This Row],[Cost]]</f>
        <v>749</v>
      </c>
      <c r="I451" s="3">
        <f>Sales[[#This Row],[Turnover]]*1000/Sales[[#This Row],[Quantity]]</f>
        <v>2781.9706498951782</v>
      </c>
      <c r="J451" s="5">
        <f>Sales[[#This Row],[Quantity]]/SUM(Sales[Quantity])</f>
        <v>8.6587001784382031E-4</v>
      </c>
    </row>
    <row r="452" spans="1:10" x14ac:dyDescent="0.25">
      <c r="A452" t="s">
        <v>26</v>
      </c>
      <c r="B452" t="s">
        <v>20</v>
      </c>
      <c r="C452" t="s">
        <v>14</v>
      </c>
      <c r="D452">
        <v>2020</v>
      </c>
      <c r="E452">
        <v>417</v>
      </c>
      <c r="F452">
        <v>1172</v>
      </c>
      <c r="G452">
        <v>506</v>
      </c>
      <c r="H452">
        <f>Sales[[#This Row],[Turnover]]-Sales[[#This Row],[Cost]]</f>
        <v>666</v>
      </c>
      <c r="I452" s="3">
        <f>Sales[[#This Row],[Turnover]]*1000/Sales[[#This Row],[Quantity]]</f>
        <v>2810.5515587529976</v>
      </c>
      <c r="J452" s="5">
        <f>Sales[[#This Row],[Quantity]]/SUM(Sales[Quantity])</f>
        <v>7.569555501905096E-4</v>
      </c>
    </row>
    <row r="453" spans="1:10" x14ac:dyDescent="0.25">
      <c r="A453" t="s">
        <v>26</v>
      </c>
      <c r="B453" t="s">
        <v>20</v>
      </c>
      <c r="C453" t="s">
        <v>2</v>
      </c>
      <c r="D453">
        <v>2020</v>
      </c>
      <c r="E453">
        <v>450</v>
      </c>
      <c r="F453">
        <v>1254</v>
      </c>
      <c r="G453">
        <v>546</v>
      </c>
      <c r="H453">
        <f>Sales[[#This Row],[Turnover]]-Sales[[#This Row],[Cost]]</f>
        <v>708</v>
      </c>
      <c r="I453" s="3">
        <f>Sales[[#This Row],[Turnover]]*1000/Sales[[#This Row],[Quantity]]</f>
        <v>2786.6666666666665</v>
      </c>
      <c r="J453" s="5">
        <f>Sales[[#This Row],[Quantity]]/SUM(Sales[Quantity])</f>
        <v>8.1685850739983044E-4</v>
      </c>
    </row>
    <row r="454" spans="1:10" x14ac:dyDescent="0.25">
      <c r="A454" t="s">
        <v>26</v>
      </c>
      <c r="B454" t="s">
        <v>20</v>
      </c>
      <c r="C454" t="s">
        <v>3</v>
      </c>
      <c r="D454">
        <v>2020</v>
      </c>
      <c r="E454">
        <v>445</v>
      </c>
      <c r="F454">
        <v>1255</v>
      </c>
      <c r="G454">
        <v>540</v>
      </c>
      <c r="H454">
        <f>Sales[[#This Row],[Turnover]]-Sales[[#This Row],[Cost]]</f>
        <v>715</v>
      </c>
      <c r="I454" s="3">
        <f>Sales[[#This Row],[Turnover]]*1000/Sales[[#This Row],[Quantity]]</f>
        <v>2820.2247191011238</v>
      </c>
      <c r="J454" s="5">
        <f>Sales[[#This Row],[Quantity]]/SUM(Sales[Quantity])</f>
        <v>8.0778230176205452E-4</v>
      </c>
    </row>
    <row r="455" spans="1:10" x14ac:dyDescent="0.25">
      <c r="A455" t="s">
        <v>26</v>
      </c>
      <c r="B455" t="s">
        <v>20</v>
      </c>
      <c r="C455" t="s">
        <v>18</v>
      </c>
      <c r="D455">
        <v>2020</v>
      </c>
      <c r="E455">
        <v>438</v>
      </c>
      <c r="F455">
        <v>1221</v>
      </c>
      <c r="G455">
        <v>531</v>
      </c>
      <c r="H455">
        <f>Sales[[#This Row],[Turnover]]-Sales[[#This Row],[Cost]]</f>
        <v>690</v>
      </c>
      <c r="I455" s="3">
        <f>Sales[[#This Row],[Turnover]]*1000/Sales[[#This Row],[Quantity]]</f>
        <v>2787.6712328767121</v>
      </c>
      <c r="J455" s="5">
        <f>Sales[[#This Row],[Quantity]]/SUM(Sales[Quantity])</f>
        <v>7.9507561386916829E-4</v>
      </c>
    </row>
    <row r="456" spans="1:10" x14ac:dyDescent="0.25">
      <c r="A456" t="s">
        <v>26</v>
      </c>
      <c r="B456" t="s">
        <v>20</v>
      </c>
      <c r="C456" t="s">
        <v>4</v>
      </c>
      <c r="D456">
        <v>2020</v>
      </c>
      <c r="E456">
        <v>439</v>
      </c>
      <c r="F456">
        <v>1224</v>
      </c>
      <c r="G456">
        <v>531</v>
      </c>
      <c r="H456">
        <f>Sales[[#This Row],[Turnover]]-Sales[[#This Row],[Cost]]</f>
        <v>693</v>
      </c>
      <c r="I456" s="3">
        <f>Sales[[#This Row],[Turnover]]*1000/Sales[[#This Row],[Quantity]]</f>
        <v>2788.1548974943053</v>
      </c>
      <c r="J456" s="5">
        <f>Sales[[#This Row],[Quantity]]/SUM(Sales[Quantity])</f>
        <v>7.9689085499672345E-4</v>
      </c>
    </row>
    <row r="457" spans="1:10" x14ac:dyDescent="0.25">
      <c r="A457" t="s">
        <v>26</v>
      </c>
      <c r="B457" t="s">
        <v>20</v>
      </c>
      <c r="C457" t="s">
        <v>19</v>
      </c>
      <c r="D457">
        <v>2020</v>
      </c>
      <c r="E457">
        <v>492</v>
      </c>
      <c r="F457">
        <v>1375</v>
      </c>
      <c r="G457">
        <v>596</v>
      </c>
      <c r="H457">
        <f>Sales[[#This Row],[Turnover]]-Sales[[#This Row],[Cost]]</f>
        <v>779</v>
      </c>
      <c r="I457" s="3">
        <f>Sales[[#This Row],[Turnover]]*1000/Sales[[#This Row],[Quantity]]</f>
        <v>2794.7154471544713</v>
      </c>
      <c r="J457" s="5">
        <f>Sales[[#This Row],[Quantity]]/SUM(Sales[Quantity])</f>
        <v>8.9309863475714793E-4</v>
      </c>
    </row>
    <row r="458" spans="1:10" x14ac:dyDescent="0.25">
      <c r="A458" t="s">
        <v>27</v>
      </c>
      <c r="B458" t="s">
        <v>22</v>
      </c>
      <c r="C458" t="s">
        <v>12</v>
      </c>
      <c r="D458">
        <v>2018</v>
      </c>
      <c r="E458">
        <v>323</v>
      </c>
      <c r="F458">
        <v>484</v>
      </c>
      <c r="G458">
        <v>188</v>
      </c>
      <c r="H458">
        <f>Sales[[#This Row],[Turnover]]-Sales[[#This Row],[Cost]]</f>
        <v>296</v>
      </c>
      <c r="I458" s="3">
        <f>Sales[[#This Row],[Turnover]]*1000/Sales[[#This Row],[Quantity]]</f>
        <v>1498.4520123839009</v>
      </c>
      <c r="J458" s="5">
        <f>Sales[[#This Row],[Quantity]]/SUM(Sales[Quantity])</f>
        <v>5.8632288420032278E-4</v>
      </c>
    </row>
    <row r="459" spans="1:10" x14ac:dyDescent="0.25">
      <c r="A459" t="s">
        <v>27</v>
      </c>
      <c r="B459" t="s">
        <v>22</v>
      </c>
      <c r="C459" t="s">
        <v>13</v>
      </c>
      <c r="D459">
        <v>2018</v>
      </c>
      <c r="E459">
        <v>380</v>
      </c>
      <c r="F459">
        <v>569</v>
      </c>
      <c r="G459">
        <v>221</v>
      </c>
      <c r="H459">
        <f>Sales[[#This Row],[Turnover]]-Sales[[#This Row],[Cost]]</f>
        <v>348</v>
      </c>
      <c r="I459" s="3">
        <f>Sales[[#This Row],[Turnover]]*1000/Sales[[#This Row],[Quantity]]</f>
        <v>1497.3684210526317</v>
      </c>
      <c r="J459" s="5">
        <f>Sales[[#This Row],[Quantity]]/SUM(Sales[Quantity])</f>
        <v>6.897916284709679E-4</v>
      </c>
    </row>
    <row r="460" spans="1:10" x14ac:dyDescent="0.25">
      <c r="A460" t="s">
        <v>27</v>
      </c>
      <c r="B460" t="s">
        <v>22</v>
      </c>
      <c r="C460" t="s">
        <v>16</v>
      </c>
      <c r="D460">
        <v>2018</v>
      </c>
      <c r="E460">
        <v>624</v>
      </c>
      <c r="F460">
        <v>934</v>
      </c>
      <c r="G460">
        <v>363</v>
      </c>
      <c r="H460">
        <f>Sales[[#This Row],[Turnover]]-Sales[[#This Row],[Cost]]</f>
        <v>571</v>
      </c>
      <c r="I460" s="3">
        <f>Sales[[#This Row],[Turnover]]*1000/Sales[[#This Row],[Quantity]]</f>
        <v>1496.7948717948718</v>
      </c>
      <c r="J460" s="5">
        <f>Sales[[#This Row],[Quantity]]/SUM(Sales[Quantity])</f>
        <v>1.1327104635944316E-3</v>
      </c>
    </row>
    <row r="461" spans="1:10" x14ac:dyDescent="0.25">
      <c r="A461" t="s">
        <v>27</v>
      </c>
      <c r="B461" t="s">
        <v>22</v>
      </c>
      <c r="C461" t="s">
        <v>1</v>
      </c>
      <c r="D461">
        <v>2018</v>
      </c>
      <c r="E461">
        <v>644</v>
      </c>
      <c r="F461">
        <v>968</v>
      </c>
      <c r="G461">
        <v>375</v>
      </c>
      <c r="H461">
        <f>Sales[[#This Row],[Turnover]]-Sales[[#This Row],[Cost]]</f>
        <v>593</v>
      </c>
      <c r="I461" s="3">
        <f>Sales[[#This Row],[Turnover]]*1000/Sales[[#This Row],[Quantity]]</f>
        <v>1503.1055900621118</v>
      </c>
      <c r="J461" s="5">
        <f>Sales[[#This Row],[Quantity]]/SUM(Sales[Quantity])</f>
        <v>1.1690152861455352E-3</v>
      </c>
    </row>
    <row r="462" spans="1:10" x14ac:dyDescent="0.25">
      <c r="A462" t="s">
        <v>27</v>
      </c>
      <c r="B462" t="s">
        <v>22</v>
      </c>
      <c r="C462" t="s">
        <v>17</v>
      </c>
      <c r="D462">
        <v>2018</v>
      </c>
      <c r="E462">
        <v>531</v>
      </c>
      <c r="F462">
        <v>792</v>
      </c>
      <c r="G462">
        <v>309</v>
      </c>
      <c r="H462">
        <f>Sales[[#This Row],[Turnover]]-Sales[[#This Row],[Cost]]</f>
        <v>483</v>
      </c>
      <c r="I462" s="3">
        <f>Sales[[#This Row],[Turnover]]*1000/Sales[[#This Row],[Quantity]]</f>
        <v>1491.5254237288136</v>
      </c>
      <c r="J462" s="5">
        <f>Sales[[#This Row],[Quantity]]/SUM(Sales[Quantity])</f>
        <v>9.6389303873179995E-4</v>
      </c>
    </row>
    <row r="463" spans="1:10" x14ac:dyDescent="0.25">
      <c r="A463" t="s">
        <v>27</v>
      </c>
      <c r="B463" t="s">
        <v>22</v>
      </c>
      <c r="C463" t="s">
        <v>15</v>
      </c>
      <c r="D463">
        <v>2018</v>
      </c>
      <c r="E463">
        <v>514</v>
      </c>
      <c r="F463">
        <v>770</v>
      </c>
      <c r="G463">
        <v>299</v>
      </c>
      <c r="H463">
        <f>Sales[[#This Row],[Turnover]]-Sales[[#This Row],[Cost]]</f>
        <v>471</v>
      </c>
      <c r="I463" s="3">
        <f>Sales[[#This Row],[Turnover]]*1000/Sales[[#This Row],[Quantity]]</f>
        <v>1498.0544747081713</v>
      </c>
      <c r="J463" s="5">
        <f>Sales[[#This Row],[Quantity]]/SUM(Sales[Quantity])</f>
        <v>9.330339395633619E-4</v>
      </c>
    </row>
    <row r="464" spans="1:10" x14ac:dyDescent="0.25">
      <c r="A464" t="s">
        <v>27</v>
      </c>
      <c r="B464" t="s">
        <v>22</v>
      </c>
      <c r="C464" t="s">
        <v>14</v>
      </c>
      <c r="D464">
        <v>2018</v>
      </c>
      <c r="E464">
        <v>595</v>
      </c>
      <c r="F464">
        <v>539</v>
      </c>
      <c r="G464">
        <v>346</v>
      </c>
      <c r="H464">
        <f>Sales[[#This Row],[Turnover]]-Sales[[#This Row],[Cost]]</f>
        <v>193</v>
      </c>
      <c r="I464" s="3">
        <f>Sales[[#This Row],[Turnover]]*1000/Sales[[#This Row],[Quantity]]</f>
        <v>905.88235294117646</v>
      </c>
      <c r="J464" s="5">
        <f>Sales[[#This Row],[Quantity]]/SUM(Sales[Quantity])</f>
        <v>1.0800684708953314E-3</v>
      </c>
    </row>
    <row r="465" spans="1:10" x14ac:dyDescent="0.25">
      <c r="A465" t="s">
        <v>27</v>
      </c>
      <c r="B465" t="s">
        <v>22</v>
      </c>
      <c r="C465" t="s">
        <v>2</v>
      </c>
      <c r="D465">
        <v>2018</v>
      </c>
      <c r="E465">
        <v>522</v>
      </c>
      <c r="F465">
        <v>467</v>
      </c>
      <c r="G465">
        <v>304</v>
      </c>
      <c r="H465">
        <f>Sales[[#This Row],[Turnover]]-Sales[[#This Row],[Cost]]</f>
        <v>163</v>
      </c>
      <c r="I465" s="3">
        <f>Sales[[#This Row],[Turnover]]*1000/Sales[[#This Row],[Quantity]]</f>
        <v>894.63601532567054</v>
      </c>
      <c r="J465" s="5">
        <f>Sales[[#This Row],[Quantity]]/SUM(Sales[Quantity])</f>
        <v>9.4755586858380329E-4</v>
      </c>
    </row>
    <row r="466" spans="1:10" x14ac:dyDescent="0.25">
      <c r="A466" t="s">
        <v>27</v>
      </c>
      <c r="B466" t="s">
        <v>22</v>
      </c>
      <c r="C466" t="s">
        <v>3</v>
      </c>
      <c r="D466">
        <v>2018</v>
      </c>
      <c r="E466">
        <v>543</v>
      </c>
      <c r="F466">
        <v>486</v>
      </c>
      <c r="G466">
        <v>316</v>
      </c>
      <c r="H466">
        <f>Sales[[#This Row],[Turnover]]-Sales[[#This Row],[Cost]]</f>
        <v>170</v>
      </c>
      <c r="I466" s="3">
        <f>Sales[[#This Row],[Turnover]]*1000/Sales[[#This Row],[Quantity]]</f>
        <v>895.02762430939231</v>
      </c>
      <c r="J466" s="5">
        <f>Sales[[#This Row],[Quantity]]/SUM(Sales[Quantity])</f>
        <v>9.8567593226246198E-4</v>
      </c>
    </row>
    <row r="467" spans="1:10" x14ac:dyDescent="0.25">
      <c r="A467" t="s">
        <v>27</v>
      </c>
      <c r="B467" t="s">
        <v>22</v>
      </c>
      <c r="C467" t="s">
        <v>18</v>
      </c>
      <c r="D467">
        <v>2018</v>
      </c>
      <c r="E467">
        <v>566</v>
      </c>
      <c r="F467">
        <v>513</v>
      </c>
      <c r="G467">
        <v>329</v>
      </c>
      <c r="H467">
        <f>Sales[[#This Row],[Turnover]]-Sales[[#This Row],[Cost]]</f>
        <v>184</v>
      </c>
      <c r="I467" s="3">
        <f>Sales[[#This Row],[Turnover]]*1000/Sales[[#This Row],[Quantity]]</f>
        <v>906.36042402826854</v>
      </c>
      <c r="J467" s="5">
        <f>Sales[[#This Row],[Quantity]]/SUM(Sales[Quantity])</f>
        <v>1.0274264781962312E-3</v>
      </c>
    </row>
    <row r="468" spans="1:10" x14ac:dyDescent="0.25">
      <c r="A468" t="s">
        <v>27</v>
      </c>
      <c r="B468" t="s">
        <v>22</v>
      </c>
      <c r="C468" t="s">
        <v>4</v>
      </c>
      <c r="D468">
        <v>2018</v>
      </c>
      <c r="E468">
        <v>449</v>
      </c>
      <c r="F468">
        <v>405</v>
      </c>
      <c r="G468">
        <v>261</v>
      </c>
      <c r="H468">
        <f>Sales[[#This Row],[Turnover]]-Sales[[#This Row],[Cost]]</f>
        <v>144</v>
      </c>
      <c r="I468" s="3">
        <f>Sales[[#This Row],[Turnover]]*1000/Sales[[#This Row],[Quantity]]</f>
        <v>902.00445434298445</v>
      </c>
      <c r="J468" s="5">
        <f>Sales[[#This Row],[Quantity]]/SUM(Sales[Quantity])</f>
        <v>8.1504326627227527E-4</v>
      </c>
    </row>
    <row r="469" spans="1:10" x14ac:dyDescent="0.25">
      <c r="A469" t="s">
        <v>27</v>
      </c>
      <c r="B469" t="s">
        <v>22</v>
      </c>
      <c r="C469" t="s">
        <v>19</v>
      </c>
      <c r="D469">
        <v>2018</v>
      </c>
      <c r="E469">
        <v>858</v>
      </c>
      <c r="F469">
        <v>605</v>
      </c>
      <c r="G469">
        <v>499</v>
      </c>
      <c r="H469">
        <f>Sales[[#This Row],[Turnover]]-Sales[[#This Row],[Cost]]</f>
        <v>106</v>
      </c>
      <c r="I469" s="3">
        <f>Sales[[#This Row],[Turnover]]*1000/Sales[[#This Row],[Quantity]]</f>
        <v>705.12820512820508</v>
      </c>
      <c r="J469" s="5">
        <f>Sales[[#This Row],[Quantity]]/SUM(Sales[Quantity])</f>
        <v>1.5574768874423435E-3</v>
      </c>
    </row>
    <row r="470" spans="1:10" x14ac:dyDescent="0.25">
      <c r="A470" t="s">
        <v>28</v>
      </c>
      <c r="B470" t="s">
        <v>22</v>
      </c>
      <c r="C470" t="s">
        <v>12</v>
      </c>
      <c r="D470">
        <v>2018</v>
      </c>
      <c r="E470">
        <v>244</v>
      </c>
      <c r="F470">
        <v>423</v>
      </c>
      <c r="G470">
        <v>0</v>
      </c>
      <c r="H470">
        <f>Sales[[#This Row],[Turnover]]-Sales[[#This Row],[Cost]]</f>
        <v>423</v>
      </c>
      <c r="I470" s="3">
        <f>Sales[[#This Row],[Turnover]]*1000/Sales[[#This Row],[Quantity]]</f>
        <v>1733.6065573770493</v>
      </c>
      <c r="J470" s="5">
        <f>Sales[[#This Row],[Quantity]]/SUM(Sales[Quantity])</f>
        <v>4.4291883512346365E-4</v>
      </c>
    </row>
    <row r="471" spans="1:10" x14ac:dyDescent="0.25">
      <c r="A471" t="s">
        <v>28</v>
      </c>
      <c r="B471" t="s">
        <v>22</v>
      </c>
      <c r="C471" t="s">
        <v>13</v>
      </c>
      <c r="D471">
        <v>2018</v>
      </c>
      <c r="E471">
        <v>314</v>
      </c>
      <c r="F471">
        <v>546</v>
      </c>
      <c r="G471">
        <v>0</v>
      </c>
      <c r="H471">
        <f>Sales[[#This Row],[Turnover]]-Sales[[#This Row],[Cost]]</f>
        <v>546</v>
      </c>
      <c r="I471" s="3">
        <f>Sales[[#This Row],[Turnover]]*1000/Sales[[#This Row],[Quantity]]</f>
        <v>1738.8535031847134</v>
      </c>
      <c r="J471" s="5">
        <f>Sales[[#This Row],[Quantity]]/SUM(Sales[Quantity])</f>
        <v>5.6998571405232612E-4</v>
      </c>
    </row>
    <row r="472" spans="1:10" x14ac:dyDescent="0.25">
      <c r="A472" t="s">
        <v>28</v>
      </c>
      <c r="B472" t="s">
        <v>22</v>
      </c>
      <c r="C472" t="s">
        <v>16</v>
      </c>
      <c r="D472">
        <v>2018</v>
      </c>
      <c r="E472">
        <v>420</v>
      </c>
      <c r="F472">
        <v>738</v>
      </c>
      <c r="G472">
        <v>0</v>
      </c>
      <c r="H472">
        <f>Sales[[#This Row],[Turnover]]-Sales[[#This Row],[Cost]]</f>
        <v>738</v>
      </c>
      <c r="I472" s="3">
        <f>Sales[[#This Row],[Turnover]]*1000/Sales[[#This Row],[Quantity]]</f>
        <v>1757.1428571428571</v>
      </c>
      <c r="J472" s="5">
        <f>Sales[[#This Row],[Quantity]]/SUM(Sales[Quantity])</f>
        <v>7.6240127357317508E-4</v>
      </c>
    </row>
    <row r="473" spans="1:10" x14ac:dyDescent="0.25">
      <c r="A473" t="s">
        <v>28</v>
      </c>
      <c r="B473" t="s">
        <v>22</v>
      </c>
      <c r="C473" t="s">
        <v>1</v>
      </c>
      <c r="D473">
        <v>2018</v>
      </c>
      <c r="E473">
        <v>359</v>
      </c>
      <c r="F473">
        <v>630</v>
      </c>
      <c r="G473">
        <v>0</v>
      </c>
      <c r="H473">
        <f>Sales[[#This Row],[Turnover]]-Sales[[#This Row],[Cost]]</f>
        <v>630</v>
      </c>
      <c r="I473" s="3">
        <f>Sales[[#This Row],[Turnover]]*1000/Sales[[#This Row],[Quantity]]</f>
        <v>1754.874651810585</v>
      </c>
      <c r="J473" s="5">
        <f>Sales[[#This Row],[Quantity]]/SUM(Sales[Quantity])</f>
        <v>6.5167156479230921E-4</v>
      </c>
    </row>
    <row r="474" spans="1:10" x14ac:dyDescent="0.25">
      <c r="A474" t="s">
        <v>28</v>
      </c>
      <c r="B474" t="s">
        <v>22</v>
      </c>
      <c r="C474" t="s">
        <v>17</v>
      </c>
      <c r="D474">
        <v>2018</v>
      </c>
      <c r="E474">
        <v>287</v>
      </c>
      <c r="F474">
        <v>503</v>
      </c>
      <c r="G474">
        <v>0</v>
      </c>
      <c r="H474">
        <f>Sales[[#This Row],[Turnover]]-Sales[[#This Row],[Cost]]</f>
        <v>503</v>
      </c>
      <c r="I474" s="3">
        <f>Sales[[#This Row],[Turnover]]*1000/Sales[[#This Row],[Quantity]]</f>
        <v>1752.6132404181185</v>
      </c>
      <c r="J474" s="5">
        <f>Sales[[#This Row],[Quantity]]/SUM(Sales[Quantity])</f>
        <v>5.2097420360833636E-4</v>
      </c>
    </row>
    <row r="475" spans="1:10" x14ac:dyDescent="0.25">
      <c r="A475" t="s">
        <v>28</v>
      </c>
      <c r="B475" t="s">
        <v>22</v>
      </c>
      <c r="C475" t="s">
        <v>15</v>
      </c>
      <c r="D475">
        <v>2018</v>
      </c>
      <c r="E475">
        <v>280</v>
      </c>
      <c r="F475">
        <v>493</v>
      </c>
      <c r="G475">
        <v>0</v>
      </c>
      <c r="H475">
        <f>Sales[[#This Row],[Turnover]]-Sales[[#This Row],[Cost]]</f>
        <v>493</v>
      </c>
      <c r="I475" s="3">
        <f>Sales[[#This Row],[Turnover]]*1000/Sales[[#This Row],[Quantity]]</f>
        <v>1760.7142857142858</v>
      </c>
      <c r="J475" s="5">
        <f>Sales[[#This Row],[Quantity]]/SUM(Sales[Quantity])</f>
        <v>5.0826751571545002E-4</v>
      </c>
    </row>
    <row r="476" spans="1:10" x14ac:dyDescent="0.25">
      <c r="A476" t="s">
        <v>28</v>
      </c>
      <c r="B476" t="s">
        <v>22</v>
      </c>
      <c r="C476" t="s">
        <v>14</v>
      </c>
      <c r="D476">
        <v>2018</v>
      </c>
      <c r="E476">
        <v>615</v>
      </c>
      <c r="F476">
        <v>736</v>
      </c>
      <c r="G476">
        <v>370</v>
      </c>
      <c r="H476">
        <f>Sales[[#This Row],[Turnover]]-Sales[[#This Row],[Cost]]</f>
        <v>366</v>
      </c>
      <c r="I476" s="3">
        <f>Sales[[#This Row],[Turnover]]*1000/Sales[[#This Row],[Quantity]]</f>
        <v>1196.7479674796748</v>
      </c>
      <c r="J476" s="5">
        <f>Sales[[#This Row],[Quantity]]/SUM(Sales[Quantity])</f>
        <v>1.1163732934464351E-3</v>
      </c>
    </row>
    <row r="477" spans="1:10" x14ac:dyDescent="0.25">
      <c r="A477" t="s">
        <v>28</v>
      </c>
      <c r="B477" t="s">
        <v>22</v>
      </c>
      <c r="C477" t="s">
        <v>2</v>
      </c>
      <c r="D477">
        <v>2018</v>
      </c>
      <c r="E477">
        <v>483</v>
      </c>
      <c r="F477">
        <v>577</v>
      </c>
      <c r="G477">
        <v>291</v>
      </c>
      <c r="H477">
        <f>Sales[[#This Row],[Turnover]]-Sales[[#This Row],[Cost]]</f>
        <v>286</v>
      </c>
      <c r="I477" s="3">
        <f>Sales[[#This Row],[Turnover]]*1000/Sales[[#This Row],[Quantity]]</f>
        <v>1194.6169772256728</v>
      </c>
      <c r="J477" s="5">
        <f>Sales[[#This Row],[Quantity]]/SUM(Sales[Quantity])</f>
        <v>8.7676146460915138E-4</v>
      </c>
    </row>
    <row r="478" spans="1:10" x14ac:dyDescent="0.25">
      <c r="A478" t="s">
        <v>28</v>
      </c>
      <c r="B478" t="s">
        <v>22</v>
      </c>
      <c r="C478" t="s">
        <v>3</v>
      </c>
      <c r="D478">
        <v>2018</v>
      </c>
      <c r="E478">
        <v>459</v>
      </c>
      <c r="F478">
        <v>554</v>
      </c>
      <c r="G478">
        <v>276</v>
      </c>
      <c r="H478">
        <f>Sales[[#This Row],[Turnover]]-Sales[[#This Row],[Cost]]</f>
        <v>278</v>
      </c>
      <c r="I478" s="3">
        <f>Sales[[#This Row],[Turnover]]*1000/Sales[[#This Row],[Quantity]]</f>
        <v>1206.9716775599129</v>
      </c>
      <c r="J478" s="5">
        <f>Sales[[#This Row],[Quantity]]/SUM(Sales[Quantity])</f>
        <v>8.331956775478271E-4</v>
      </c>
    </row>
    <row r="479" spans="1:10" x14ac:dyDescent="0.25">
      <c r="A479" t="s">
        <v>28</v>
      </c>
      <c r="B479" t="s">
        <v>22</v>
      </c>
      <c r="C479" t="s">
        <v>18</v>
      </c>
      <c r="D479">
        <v>2018</v>
      </c>
      <c r="E479">
        <v>411</v>
      </c>
      <c r="F479">
        <v>493</v>
      </c>
      <c r="G479">
        <v>248</v>
      </c>
      <c r="H479">
        <f>Sales[[#This Row],[Turnover]]-Sales[[#This Row],[Cost]]</f>
        <v>245</v>
      </c>
      <c r="I479" s="3">
        <f>Sales[[#This Row],[Turnover]]*1000/Sales[[#This Row],[Quantity]]</f>
        <v>1199.5133819951338</v>
      </c>
      <c r="J479" s="5">
        <f>Sales[[#This Row],[Quantity]]/SUM(Sales[Quantity])</f>
        <v>7.4606410342517853E-4</v>
      </c>
    </row>
    <row r="480" spans="1:10" x14ac:dyDescent="0.25">
      <c r="A480" t="s">
        <v>28</v>
      </c>
      <c r="B480" t="s">
        <v>22</v>
      </c>
      <c r="C480" t="s">
        <v>4</v>
      </c>
      <c r="D480">
        <v>2018</v>
      </c>
      <c r="E480">
        <v>386</v>
      </c>
      <c r="F480">
        <v>459</v>
      </c>
      <c r="G480">
        <v>232</v>
      </c>
      <c r="H480">
        <f>Sales[[#This Row],[Turnover]]-Sales[[#This Row],[Cost]]</f>
        <v>227</v>
      </c>
      <c r="I480" s="3">
        <f>Sales[[#This Row],[Turnover]]*1000/Sales[[#This Row],[Quantity]]</f>
        <v>1189.1191709844559</v>
      </c>
      <c r="J480" s="5">
        <f>Sales[[#This Row],[Quantity]]/SUM(Sales[Quantity])</f>
        <v>7.0068307523629898E-4</v>
      </c>
    </row>
    <row r="481" spans="1:10" x14ac:dyDescent="0.25">
      <c r="A481" t="s">
        <v>28</v>
      </c>
      <c r="B481" t="s">
        <v>22</v>
      </c>
      <c r="C481" t="s">
        <v>19</v>
      </c>
      <c r="D481">
        <v>2018</v>
      </c>
      <c r="E481">
        <v>539</v>
      </c>
      <c r="F481">
        <v>427</v>
      </c>
      <c r="G481">
        <v>324</v>
      </c>
      <c r="H481">
        <f>Sales[[#This Row],[Turnover]]-Sales[[#This Row],[Cost]]</f>
        <v>103</v>
      </c>
      <c r="I481" s="3">
        <f>Sales[[#This Row],[Turnover]]*1000/Sales[[#This Row],[Quantity]]</f>
        <v>792.20779220779218</v>
      </c>
      <c r="J481" s="5">
        <f>Sales[[#This Row],[Quantity]]/SUM(Sales[Quantity])</f>
        <v>9.7841496775224134E-4</v>
      </c>
    </row>
    <row r="482" spans="1:10" x14ac:dyDescent="0.25">
      <c r="A482" t="s">
        <v>30</v>
      </c>
      <c r="B482" t="s">
        <v>22</v>
      </c>
      <c r="C482" t="s">
        <v>12</v>
      </c>
      <c r="D482">
        <v>2018</v>
      </c>
      <c r="E482">
        <v>624</v>
      </c>
      <c r="F482">
        <v>1228</v>
      </c>
      <c r="G482">
        <v>756</v>
      </c>
      <c r="H482">
        <f>Sales[[#This Row],[Turnover]]-Sales[[#This Row],[Cost]]</f>
        <v>472</v>
      </c>
      <c r="I482" s="3">
        <f>Sales[[#This Row],[Turnover]]*1000/Sales[[#This Row],[Quantity]]</f>
        <v>1967.948717948718</v>
      </c>
      <c r="J482" s="5">
        <f>Sales[[#This Row],[Quantity]]/SUM(Sales[Quantity])</f>
        <v>1.1327104635944316E-3</v>
      </c>
    </row>
    <row r="483" spans="1:10" x14ac:dyDescent="0.25">
      <c r="A483" t="s">
        <v>30</v>
      </c>
      <c r="B483" t="s">
        <v>22</v>
      </c>
      <c r="C483" t="s">
        <v>13</v>
      </c>
      <c r="D483">
        <v>2018</v>
      </c>
      <c r="E483">
        <v>553</v>
      </c>
      <c r="F483">
        <v>1073</v>
      </c>
      <c r="G483">
        <v>670</v>
      </c>
      <c r="H483">
        <f>Sales[[#This Row],[Turnover]]-Sales[[#This Row],[Cost]]</f>
        <v>403</v>
      </c>
      <c r="I483" s="3">
        <f>Sales[[#This Row],[Turnover]]*1000/Sales[[#This Row],[Quantity]]</f>
        <v>1940.3254972875227</v>
      </c>
      <c r="J483" s="5">
        <f>Sales[[#This Row],[Quantity]]/SUM(Sales[Quantity])</f>
        <v>1.0038283435380138E-3</v>
      </c>
    </row>
    <row r="484" spans="1:10" x14ac:dyDescent="0.25">
      <c r="A484" t="s">
        <v>30</v>
      </c>
      <c r="B484" t="s">
        <v>22</v>
      </c>
      <c r="C484" t="s">
        <v>16</v>
      </c>
      <c r="D484">
        <v>2018</v>
      </c>
      <c r="E484">
        <v>610</v>
      </c>
      <c r="F484">
        <v>1188</v>
      </c>
      <c r="G484">
        <v>739</v>
      </c>
      <c r="H484">
        <f>Sales[[#This Row],[Turnover]]-Sales[[#This Row],[Cost]]</f>
        <v>449</v>
      </c>
      <c r="I484" s="3">
        <f>Sales[[#This Row],[Turnover]]*1000/Sales[[#This Row],[Quantity]]</f>
        <v>1947.5409836065573</v>
      </c>
      <c r="J484" s="5">
        <f>Sales[[#This Row],[Quantity]]/SUM(Sales[Quantity])</f>
        <v>1.1072970878086591E-3</v>
      </c>
    </row>
    <row r="485" spans="1:10" x14ac:dyDescent="0.25">
      <c r="A485" t="s">
        <v>30</v>
      </c>
      <c r="B485" t="s">
        <v>22</v>
      </c>
      <c r="C485" t="s">
        <v>1</v>
      </c>
      <c r="D485">
        <v>2018</v>
      </c>
      <c r="E485">
        <v>580</v>
      </c>
      <c r="F485">
        <v>1127</v>
      </c>
      <c r="G485">
        <v>702</v>
      </c>
      <c r="H485">
        <f>Sales[[#This Row],[Turnover]]-Sales[[#This Row],[Cost]]</f>
        <v>425</v>
      </c>
      <c r="I485" s="3">
        <f>Sales[[#This Row],[Turnover]]*1000/Sales[[#This Row],[Quantity]]</f>
        <v>1943.1034482758621</v>
      </c>
      <c r="J485" s="5">
        <f>Sales[[#This Row],[Quantity]]/SUM(Sales[Quantity])</f>
        <v>1.0528398539820037E-3</v>
      </c>
    </row>
    <row r="486" spans="1:10" x14ac:dyDescent="0.25">
      <c r="A486" t="s">
        <v>30</v>
      </c>
      <c r="B486" t="s">
        <v>22</v>
      </c>
      <c r="C486" t="s">
        <v>17</v>
      </c>
      <c r="D486">
        <v>2018</v>
      </c>
      <c r="E486">
        <v>631</v>
      </c>
      <c r="F486">
        <v>1223</v>
      </c>
      <c r="G486">
        <v>765</v>
      </c>
      <c r="H486">
        <f>Sales[[#This Row],[Turnover]]-Sales[[#This Row],[Cost]]</f>
        <v>458</v>
      </c>
      <c r="I486" s="3">
        <f>Sales[[#This Row],[Turnover]]*1000/Sales[[#This Row],[Quantity]]</f>
        <v>1938.1933438985736</v>
      </c>
      <c r="J486" s="5">
        <f>Sales[[#This Row],[Quantity]]/SUM(Sales[Quantity])</f>
        <v>1.1454171514873178E-3</v>
      </c>
    </row>
    <row r="487" spans="1:10" x14ac:dyDescent="0.25">
      <c r="A487" t="s">
        <v>30</v>
      </c>
      <c r="B487" t="s">
        <v>22</v>
      </c>
      <c r="C487" t="s">
        <v>15</v>
      </c>
      <c r="D487">
        <v>2018</v>
      </c>
      <c r="E487">
        <v>591</v>
      </c>
      <c r="F487">
        <v>1141</v>
      </c>
      <c r="G487">
        <v>716</v>
      </c>
      <c r="H487">
        <f>Sales[[#This Row],[Turnover]]-Sales[[#This Row],[Cost]]</f>
        <v>425</v>
      </c>
      <c r="I487" s="3">
        <f>Sales[[#This Row],[Turnover]]*1000/Sales[[#This Row],[Quantity]]</f>
        <v>1930.6260575296108</v>
      </c>
      <c r="J487" s="5">
        <f>Sales[[#This Row],[Quantity]]/SUM(Sales[Quantity])</f>
        <v>1.0728075063851108E-3</v>
      </c>
    </row>
    <row r="488" spans="1:10" x14ac:dyDescent="0.25">
      <c r="A488" t="s">
        <v>30</v>
      </c>
      <c r="B488" t="s">
        <v>22</v>
      </c>
      <c r="C488" t="s">
        <v>14</v>
      </c>
      <c r="D488">
        <v>2018</v>
      </c>
      <c r="E488">
        <v>498</v>
      </c>
      <c r="F488">
        <v>972</v>
      </c>
      <c r="G488">
        <v>604</v>
      </c>
      <c r="H488">
        <f>Sales[[#This Row],[Turnover]]-Sales[[#This Row],[Cost]]</f>
        <v>368</v>
      </c>
      <c r="I488" s="3">
        <f>Sales[[#This Row],[Turnover]]*1000/Sales[[#This Row],[Quantity]]</f>
        <v>1951.8072289156626</v>
      </c>
      <c r="J488" s="5">
        <f>Sales[[#This Row],[Quantity]]/SUM(Sales[Quantity])</f>
        <v>9.03990081522479E-4</v>
      </c>
    </row>
    <row r="489" spans="1:10" x14ac:dyDescent="0.25">
      <c r="A489" t="s">
        <v>30</v>
      </c>
      <c r="B489" t="s">
        <v>22</v>
      </c>
      <c r="C489" t="s">
        <v>2</v>
      </c>
      <c r="D489">
        <v>2018</v>
      </c>
      <c r="E489">
        <v>814</v>
      </c>
      <c r="F489">
        <v>1210</v>
      </c>
      <c r="G489">
        <v>987</v>
      </c>
      <c r="H489">
        <f>Sales[[#This Row],[Turnover]]-Sales[[#This Row],[Cost]]</f>
        <v>223</v>
      </c>
      <c r="I489" s="3">
        <f>Sales[[#This Row],[Turnover]]*1000/Sales[[#This Row],[Quantity]]</f>
        <v>1486.4864864864865</v>
      </c>
      <c r="J489" s="5">
        <f>Sales[[#This Row],[Quantity]]/SUM(Sales[Quantity])</f>
        <v>1.4776062778299156E-3</v>
      </c>
    </row>
    <row r="490" spans="1:10" x14ac:dyDescent="0.25">
      <c r="A490" t="s">
        <v>30</v>
      </c>
      <c r="B490" t="s">
        <v>22</v>
      </c>
      <c r="C490" t="s">
        <v>3</v>
      </c>
      <c r="D490">
        <v>2018</v>
      </c>
      <c r="E490">
        <v>770</v>
      </c>
      <c r="F490">
        <v>1163</v>
      </c>
      <c r="G490">
        <v>933</v>
      </c>
      <c r="H490">
        <f>Sales[[#This Row],[Turnover]]-Sales[[#This Row],[Cost]]</f>
        <v>230</v>
      </c>
      <c r="I490" s="3">
        <f>Sales[[#This Row],[Turnover]]*1000/Sales[[#This Row],[Quantity]]</f>
        <v>1510.3896103896104</v>
      </c>
      <c r="J490" s="5">
        <f>Sales[[#This Row],[Quantity]]/SUM(Sales[Quantity])</f>
        <v>1.3977356682174876E-3</v>
      </c>
    </row>
    <row r="491" spans="1:10" x14ac:dyDescent="0.25">
      <c r="A491" t="s">
        <v>30</v>
      </c>
      <c r="B491" t="s">
        <v>22</v>
      </c>
      <c r="C491" t="s">
        <v>18</v>
      </c>
      <c r="D491">
        <v>2018</v>
      </c>
      <c r="E491">
        <v>673</v>
      </c>
      <c r="F491">
        <v>1011</v>
      </c>
      <c r="G491">
        <v>815</v>
      </c>
      <c r="H491">
        <f>Sales[[#This Row],[Turnover]]-Sales[[#This Row],[Cost]]</f>
        <v>196</v>
      </c>
      <c r="I491" s="3">
        <f>Sales[[#This Row],[Turnover]]*1000/Sales[[#This Row],[Quantity]]</f>
        <v>1502.2288261515603</v>
      </c>
      <c r="J491" s="5">
        <f>Sales[[#This Row],[Quantity]]/SUM(Sales[Quantity])</f>
        <v>1.2216572788446352E-3</v>
      </c>
    </row>
    <row r="492" spans="1:10" x14ac:dyDescent="0.25">
      <c r="A492" t="s">
        <v>30</v>
      </c>
      <c r="B492" t="s">
        <v>22</v>
      </c>
      <c r="C492" t="s">
        <v>4</v>
      </c>
      <c r="D492">
        <v>2018</v>
      </c>
      <c r="E492">
        <v>679</v>
      </c>
      <c r="F492">
        <v>1023</v>
      </c>
      <c r="G492">
        <v>822</v>
      </c>
      <c r="H492">
        <f>Sales[[#This Row],[Turnover]]-Sales[[#This Row],[Cost]]</f>
        <v>201</v>
      </c>
      <c r="I492" s="3">
        <f>Sales[[#This Row],[Turnover]]*1000/Sales[[#This Row],[Quantity]]</f>
        <v>1506.6273932253314</v>
      </c>
      <c r="J492" s="5">
        <f>Sales[[#This Row],[Quantity]]/SUM(Sales[Quantity])</f>
        <v>1.2325487256099664E-3</v>
      </c>
    </row>
    <row r="493" spans="1:10" x14ac:dyDescent="0.25">
      <c r="A493" t="s">
        <v>30</v>
      </c>
      <c r="B493" t="s">
        <v>22</v>
      </c>
      <c r="C493" t="s">
        <v>19</v>
      </c>
      <c r="D493">
        <v>2018</v>
      </c>
      <c r="E493">
        <v>502</v>
      </c>
      <c r="F493">
        <v>752</v>
      </c>
      <c r="G493">
        <v>609</v>
      </c>
      <c r="H493">
        <f>Sales[[#This Row],[Turnover]]-Sales[[#This Row],[Cost]]</f>
        <v>143</v>
      </c>
      <c r="I493" s="3">
        <f>Sales[[#This Row],[Turnover]]*1000/Sales[[#This Row],[Quantity]]</f>
        <v>1498.0079681274901</v>
      </c>
      <c r="J493" s="5">
        <f>Sales[[#This Row],[Quantity]]/SUM(Sales[Quantity])</f>
        <v>9.1125104603269975E-4</v>
      </c>
    </row>
    <row r="494" spans="1:10" x14ac:dyDescent="0.25">
      <c r="A494" t="s">
        <v>26</v>
      </c>
      <c r="B494" t="s">
        <v>22</v>
      </c>
      <c r="C494" t="s">
        <v>2</v>
      </c>
      <c r="D494">
        <v>2018</v>
      </c>
      <c r="E494">
        <v>303</v>
      </c>
      <c r="F494">
        <v>1059</v>
      </c>
      <c r="G494">
        <v>368</v>
      </c>
      <c r="H494">
        <f>Sales[[#This Row],[Turnover]]-Sales[[#This Row],[Cost]]</f>
        <v>691</v>
      </c>
      <c r="I494" s="3">
        <f>Sales[[#This Row],[Turnover]]*1000/Sales[[#This Row],[Quantity]]</f>
        <v>3495.0495049504952</v>
      </c>
      <c r="J494" s="5">
        <f>Sales[[#This Row],[Quantity]]/SUM(Sales[Quantity])</f>
        <v>5.5001806164921914E-4</v>
      </c>
    </row>
    <row r="495" spans="1:10" x14ac:dyDescent="0.25">
      <c r="A495" t="s">
        <v>26</v>
      </c>
      <c r="B495" t="s">
        <v>22</v>
      </c>
      <c r="C495" t="s">
        <v>3</v>
      </c>
      <c r="D495">
        <v>2018</v>
      </c>
      <c r="E495">
        <v>351</v>
      </c>
      <c r="F495">
        <v>1237</v>
      </c>
      <c r="G495">
        <v>426</v>
      </c>
      <c r="H495">
        <f>Sales[[#This Row],[Turnover]]-Sales[[#This Row],[Cost]]</f>
        <v>811</v>
      </c>
      <c r="I495" s="3">
        <f>Sales[[#This Row],[Turnover]]*1000/Sales[[#This Row],[Quantity]]</f>
        <v>3524.2165242165242</v>
      </c>
      <c r="J495" s="5">
        <f>Sales[[#This Row],[Quantity]]/SUM(Sales[Quantity])</f>
        <v>6.3714963577186771E-4</v>
      </c>
    </row>
    <row r="496" spans="1:10" x14ac:dyDescent="0.25">
      <c r="A496" t="s">
        <v>26</v>
      </c>
      <c r="B496" t="s">
        <v>22</v>
      </c>
      <c r="C496" t="s">
        <v>18</v>
      </c>
      <c r="D496">
        <v>2018</v>
      </c>
      <c r="E496">
        <v>321</v>
      </c>
      <c r="F496">
        <v>1115</v>
      </c>
      <c r="G496">
        <v>390</v>
      </c>
      <c r="H496">
        <f>Sales[[#This Row],[Turnover]]-Sales[[#This Row],[Cost]]</f>
        <v>725</v>
      </c>
      <c r="I496" s="3">
        <f>Sales[[#This Row],[Turnover]]*1000/Sales[[#This Row],[Quantity]]</f>
        <v>3473.5202492211838</v>
      </c>
      <c r="J496" s="5">
        <f>Sales[[#This Row],[Quantity]]/SUM(Sales[Quantity])</f>
        <v>5.8269240194521235E-4</v>
      </c>
    </row>
    <row r="497" spans="1:10" x14ac:dyDescent="0.25">
      <c r="A497" t="s">
        <v>26</v>
      </c>
      <c r="B497" t="s">
        <v>22</v>
      </c>
      <c r="C497" t="s">
        <v>4</v>
      </c>
      <c r="D497">
        <v>2018</v>
      </c>
      <c r="E497">
        <v>321</v>
      </c>
      <c r="F497">
        <v>1131</v>
      </c>
      <c r="G497">
        <v>390</v>
      </c>
      <c r="H497">
        <f>Sales[[#This Row],[Turnover]]-Sales[[#This Row],[Cost]]</f>
        <v>741</v>
      </c>
      <c r="I497" s="3">
        <f>Sales[[#This Row],[Turnover]]*1000/Sales[[#This Row],[Quantity]]</f>
        <v>3523.3644859813085</v>
      </c>
      <c r="J497" s="5">
        <f>Sales[[#This Row],[Quantity]]/SUM(Sales[Quantity])</f>
        <v>5.8269240194521235E-4</v>
      </c>
    </row>
    <row r="498" spans="1:10" x14ac:dyDescent="0.25">
      <c r="A498" t="s">
        <v>26</v>
      </c>
      <c r="B498" t="s">
        <v>22</v>
      </c>
      <c r="C498" t="s">
        <v>19</v>
      </c>
      <c r="D498">
        <v>2018</v>
      </c>
      <c r="E498">
        <v>307</v>
      </c>
      <c r="F498">
        <v>1067</v>
      </c>
      <c r="G498">
        <v>373</v>
      </c>
      <c r="H498">
        <f>Sales[[#This Row],[Turnover]]-Sales[[#This Row],[Cost]]</f>
        <v>694</v>
      </c>
      <c r="I498" s="3">
        <f>Sales[[#This Row],[Turnover]]*1000/Sales[[#This Row],[Quantity]]</f>
        <v>3475.5700325732901</v>
      </c>
      <c r="J498" s="5">
        <f>Sales[[#This Row],[Quantity]]/SUM(Sales[Quantity])</f>
        <v>5.5727902615943989E-4</v>
      </c>
    </row>
    <row r="499" spans="1:10" x14ac:dyDescent="0.25">
      <c r="A499" t="s">
        <v>29</v>
      </c>
      <c r="B499" t="s">
        <v>22</v>
      </c>
      <c r="C499" t="s">
        <v>2</v>
      </c>
      <c r="D499">
        <v>2018</v>
      </c>
      <c r="E499">
        <v>217</v>
      </c>
      <c r="F499">
        <v>885</v>
      </c>
      <c r="G499">
        <v>310</v>
      </c>
      <c r="H499">
        <f>Sales[[#This Row],[Turnover]]-Sales[[#This Row],[Cost]]</f>
        <v>575</v>
      </c>
      <c r="I499" s="3">
        <f>Sales[[#This Row],[Turnover]]*1000/Sales[[#This Row],[Quantity]]</f>
        <v>4078.3410138248846</v>
      </c>
      <c r="J499" s="5">
        <f>Sales[[#This Row],[Quantity]]/SUM(Sales[Quantity])</f>
        <v>3.9390732467947377E-4</v>
      </c>
    </row>
    <row r="500" spans="1:10" x14ac:dyDescent="0.25">
      <c r="A500" t="s">
        <v>29</v>
      </c>
      <c r="B500" t="s">
        <v>22</v>
      </c>
      <c r="C500" t="s">
        <v>3</v>
      </c>
      <c r="D500">
        <v>2018</v>
      </c>
      <c r="E500">
        <v>239</v>
      </c>
      <c r="F500">
        <v>970</v>
      </c>
      <c r="G500">
        <v>341</v>
      </c>
      <c r="H500">
        <f>Sales[[#This Row],[Turnover]]-Sales[[#This Row],[Cost]]</f>
        <v>629</v>
      </c>
      <c r="I500" s="3">
        <f>Sales[[#This Row],[Turnover]]*1000/Sales[[#This Row],[Quantity]]</f>
        <v>4058.5774058577404</v>
      </c>
      <c r="J500" s="5">
        <f>Sales[[#This Row],[Quantity]]/SUM(Sales[Quantity])</f>
        <v>4.3384262948568773E-4</v>
      </c>
    </row>
    <row r="501" spans="1:10" x14ac:dyDescent="0.25">
      <c r="A501" t="s">
        <v>29</v>
      </c>
      <c r="B501" t="s">
        <v>22</v>
      </c>
      <c r="C501" t="s">
        <v>18</v>
      </c>
      <c r="D501">
        <v>2018</v>
      </c>
      <c r="E501">
        <v>221</v>
      </c>
      <c r="F501">
        <v>900</v>
      </c>
      <c r="G501">
        <v>317</v>
      </c>
      <c r="H501">
        <f>Sales[[#This Row],[Turnover]]-Sales[[#This Row],[Cost]]</f>
        <v>583</v>
      </c>
      <c r="I501" s="3">
        <f>Sales[[#This Row],[Turnover]]*1000/Sales[[#This Row],[Quantity]]</f>
        <v>4072.3981900452491</v>
      </c>
      <c r="J501" s="5">
        <f>Sales[[#This Row],[Quantity]]/SUM(Sales[Quantity])</f>
        <v>4.0116828918969452E-4</v>
      </c>
    </row>
    <row r="502" spans="1:10" x14ac:dyDescent="0.25">
      <c r="A502" t="s">
        <v>29</v>
      </c>
      <c r="B502" t="s">
        <v>22</v>
      </c>
      <c r="C502" t="s">
        <v>4</v>
      </c>
      <c r="D502">
        <v>2018</v>
      </c>
      <c r="E502">
        <v>214</v>
      </c>
      <c r="F502">
        <v>872</v>
      </c>
      <c r="G502">
        <v>306</v>
      </c>
      <c r="H502">
        <f>Sales[[#This Row],[Turnover]]-Sales[[#This Row],[Cost]]</f>
        <v>566</v>
      </c>
      <c r="I502" s="3">
        <f>Sales[[#This Row],[Turnover]]*1000/Sales[[#This Row],[Quantity]]</f>
        <v>4074.766355140187</v>
      </c>
      <c r="J502" s="5">
        <f>Sales[[#This Row],[Quantity]]/SUM(Sales[Quantity])</f>
        <v>3.8846160129680824E-4</v>
      </c>
    </row>
    <row r="503" spans="1:10" x14ac:dyDescent="0.25">
      <c r="A503" t="s">
        <v>29</v>
      </c>
      <c r="B503" t="s">
        <v>22</v>
      </c>
      <c r="C503" t="s">
        <v>19</v>
      </c>
      <c r="D503">
        <v>2018</v>
      </c>
      <c r="E503">
        <v>230</v>
      </c>
      <c r="F503">
        <v>952</v>
      </c>
      <c r="G503">
        <v>329</v>
      </c>
      <c r="H503">
        <f>Sales[[#This Row],[Turnover]]-Sales[[#This Row],[Cost]]</f>
        <v>623</v>
      </c>
      <c r="I503" s="3">
        <f>Sales[[#This Row],[Turnover]]*1000/Sales[[#This Row],[Quantity]]</f>
        <v>4139.130434782609</v>
      </c>
      <c r="J503" s="5">
        <f>Sales[[#This Row],[Quantity]]/SUM(Sales[Quantity])</f>
        <v>4.1750545933769113E-4</v>
      </c>
    </row>
    <row r="504" spans="1:10" x14ac:dyDescent="0.25">
      <c r="A504" t="s">
        <v>27</v>
      </c>
      <c r="B504" t="s">
        <v>22</v>
      </c>
      <c r="C504" t="s">
        <v>12</v>
      </c>
      <c r="D504">
        <v>2019</v>
      </c>
      <c r="E504">
        <v>718</v>
      </c>
      <c r="F504">
        <v>507</v>
      </c>
      <c r="G504">
        <v>418</v>
      </c>
      <c r="H504">
        <f>Sales[[#This Row],[Turnover]]-Sales[[#This Row],[Cost]]</f>
        <v>89</v>
      </c>
      <c r="I504" s="3">
        <f>Sales[[#This Row],[Turnover]]*1000/Sales[[#This Row],[Quantity]]</f>
        <v>706.12813370473543</v>
      </c>
      <c r="J504" s="5">
        <f>Sales[[#This Row],[Quantity]]/SUM(Sales[Quantity])</f>
        <v>1.3033431295846184E-3</v>
      </c>
    </row>
    <row r="505" spans="1:10" x14ac:dyDescent="0.25">
      <c r="A505" t="s">
        <v>27</v>
      </c>
      <c r="B505" t="s">
        <v>22</v>
      </c>
      <c r="C505" t="s">
        <v>13</v>
      </c>
      <c r="D505">
        <v>2019</v>
      </c>
      <c r="E505">
        <v>792</v>
      </c>
      <c r="F505">
        <v>560</v>
      </c>
      <c r="G505">
        <v>461</v>
      </c>
      <c r="H505">
        <f>Sales[[#This Row],[Turnover]]-Sales[[#This Row],[Cost]]</f>
        <v>99</v>
      </c>
      <c r="I505" s="3">
        <f>Sales[[#This Row],[Turnover]]*1000/Sales[[#This Row],[Quantity]]</f>
        <v>707.07070707070704</v>
      </c>
      <c r="J505" s="5">
        <f>Sales[[#This Row],[Quantity]]/SUM(Sales[Quantity])</f>
        <v>1.4376709730237016E-3</v>
      </c>
    </row>
    <row r="506" spans="1:10" x14ac:dyDescent="0.25">
      <c r="A506" t="s">
        <v>27</v>
      </c>
      <c r="B506" t="s">
        <v>22</v>
      </c>
      <c r="C506" t="s">
        <v>16</v>
      </c>
      <c r="D506">
        <v>2019</v>
      </c>
      <c r="E506">
        <v>713</v>
      </c>
      <c r="F506">
        <v>496</v>
      </c>
      <c r="G506">
        <v>415</v>
      </c>
      <c r="H506">
        <f>Sales[[#This Row],[Turnover]]-Sales[[#This Row],[Cost]]</f>
        <v>81</v>
      </c>
      <c r="I506" s="3">
        <f>Sales[[#This Row],[Turnover]]*1000/Sales[[#This Row],[Quantity]]</f>
        <v>695.6521739130435</v>
      </c>
      <c r="J506" s="5">
        <f>Sales[[#This Row],[Quantity]]/SUM(Sales[Quantity])</f>
        <v>1.2942669239468425E-3</v>
      </c>
    </row>
    <row r="507" spans="1:10" x14ac:dyDescent="0.25">
      <c r="A507" t="s">
        <v>27</v>
      </c>
      <c r="B507" t="s">
        <v>22</v>
      </c>
      <c r="C507" t="s">
        <v>1</v>
      </c>
      <c r="D507">
        <v>2019</v>
      </c>
      <c r="E507">
        <v>679</v>
      </c>
      <c r="F507">
        <v>473</v>
      </c>
      <c r="G507">
        <v>395</v>
      </c>
      <c r="H507">
        <f>Sales[[#This Row],[Turnover]]-Sales[[#This Row],[Cost]]</f>
        <v>78</v>
      </c>
      <c r="I507" s="3">
        <f>Sales[[#This Row],[Turnover]]*1000/Sales[[#This Row],[Quantity]]</f>
        <v>696.61266568483063</v>
      </c>
      <c r="J507" s="5">
        <f>Sales[[#This Row],[Quantity]]/SUM(Sales[Quantity])</f>
        <v>1.2325487256099664E-3</v>
      </c>
    </row>
    <row r="508" spans="1:10" x14ac:dyDescent="0.25">
      <c r="A508" t="s">
        <v>27</v>
      </c>
      <c r="B508" t="s">
        <v>22</v>
      </c>
      <c r="C508" t="s">
        <v>17</v>
      </c>
      <c r="D508">
        <v>2019</v>
      </c>
      <c r="E508">
        <v>523</v>
      </c>
      <c r="F508">
        <v>369</v>
      </c>
      <c r="G508">
        <v>305</v>
      </c>
      <c r="H508">
        <f>Sales[[#This Row],[Turnover]]-Sales[[#This Row],[Cost]]</f>
        <v>64</v>
      </c>
      <c r="I508" s="3">
        <f>Sales[[#This Row],[Turnover]]*1000/Sales[[#This Row],[Quantity]]</f>
        <v>705.54493307839391</v>
      </c>
      <c r="J508" s="5">
        <f>Sales[[#This Row],[Quantity]]/SUM(Sales[Quantity])</f>
        <v>9.4937110971135856E-4</v>
      </c>
    </row>
    <row r="509" spans="1:10" x14ac:dyDescent="0.25">
      <c r="A509" t="s">
        <v>27</v>
      </c>
      <c r="B509" t="s">
        <v>22</v>
      </c>
      <c r="C509" t="s">
        <v>15</v>
      </c>
      <c r="D509">
        <v>2019</v>
      </c>
      <c r="E509">
        <v>757</v>
      </c>
      <c r="F509">
        <v>457</v>
      </c>
      <c r="G509">
        <v>441</v>
      </c>
      <c r="H509">
        <f>Sales[[#This Row],[Turnover]]-Sales[[#This Row],[Cost]]</f>
        <v>16</v>
      </c>
      <c r="I509" s="3">
        <f>Sales[[#This Row],[Turnover]]*1000/Sales[[#This Row],[Quantity]]</f>
        <v>603.69881109643325</v>
      </c>
      <c r="J509" s="5">
        <f>Sales[[#This Row],[Quantity]]/SUM(Sales[Quantity])</f>
        <v>1.3741375335592704E-3</v>
      </c>
    </row>
    <row r="510" spans="1:10" x14ac:dyDescent="0.25">
      <c r="A510" t="s">
        <v>27</v>
      </c>
      <c r="B510" t="s">
        <v>22</v>
      </c>
      <c r="C510" t="s">
        <v>14</v>
      </c>
      <c r="D510">
        <v>2019</v>
      </c>
      <c r="E510">
        <v>657</v>
      </c>
      <c r="F510">
        <v>394</v>
      </c>
      <c r="G510">
        <v>382</v>
      </c>
      <c r="H510">
        <f>Sales[[#This Row],[Turnover]]-Sales[[#This Row],[Cost]]</f>
        <v>12</v>
      </c>
      <c r="I510" s="3">
        <f>Sales[[#This Row],[Turnover]]*1000/Sales[[#This Row],[Quantity]]</f>
        <v>599.69558599695586</v>
      </c>
      <c r="J510" s="5">
        <f>Sales[[#This Row],[Quantity]]/SUM(Sales[Quantity])</f>
        <v>1.1926134208037524E-3</v>
      </c>
    </row>
    <row r="511" spans="1:10" x14ac:dyDescent="0.25">
      <c r="A511" t="s">
        <v>27</v>
      </c>
      <c r="B511" t="s">
        <v>22</v>
      </c>
      <c r="C511" t="s">
        <v>2</v>
      </c>
      <c r="D511">
        <v>2019</v>
      </c>
      <c r="E511">
        <v>558</v>
      </c>
      <c r="F511">
        <v>337</v>
      </c>
      <c r="G511">
        <v>325</v>
      </c>
      <c r="H511">
        <f>Sales[[#This Row],[Turnover]]-Sales[[#This Row],[Cost]]</f>
        <v>12</v>
      </c>
      <c r="I511" s="3">
        <f>Sales[[#This Row],[Turnover]]*1000/Sales[[#This Row],[Quantity]]</f>
        <v>603.94265232974908</v>
      </c>
      <c r="J511" s="5">
        <f>Sales[[#This Row],[Quantity]]/SUM(Sales[Quantity])</f>
        <v>1.0129045491757897E-3</v>
      </c>
    </row>
    <row r="512" spans="1:10" x14ac:dyDescent="0.25">
      <c r="A512" t="s">
        <v>27</v>
      </c>
      <c r="B512" t="s">
        <v>22</v>
      </c>
      <c r="C512" t="s">
        <v>3</v>
      </c>
      <c r="D512">
        <v>2019</v>
      </c>
      <c r="E512">
        <v>479</v>
      </c>
      <c r="F512">
        <v>290</v>
      </c>
      <c r="G512">
        <v>279</v>
      </c>
      <c r="H512">
        <f>Sales[[#This Row],[Turnover]]-Sales[[#This Row],[Cost]]</f>
        <v>11</v>
      </c>
      <c r="I512" s="3">
        <f>Sales[[#This Row],[Turnover]]*1000/Sales[[#This Row],[Quantity]]</f>
        <v>605.42797494780791</v>
      </c>
      <c r="J512" s="5">
        <f>Sales[[#This Row],[Quantity]]/SUM(Sales[Quantity])</f>
        <v>8.6950050009893063E-4</v>
      </c>
    </row>
    <row r="513" spans="1:10" x14ac:dyDescent="0.25">
      <c r="A513" t="s">
        <v>27</v>
      </c>
      <c r="B513" t="s">
        <v>22</v>
      </c>
      <c r="C513" t="s">
        <v>18</v>
      </c>
      <c r="D513">
        <v>2019</v>
      </c>
      <c r="E513">
        <v>575</v>
      </c>
      <c r="F513">
        <v>343</v>
      </c>
      <c r="G513">
        <v>335</v>
      </c>
      <c r="H513">
        <f>Sales[[#This Row],[Turnover]]-Sales[[#This Row],[Cost]]</f>
        <v>8</v>
      </c>
      <c r="I513" s="3">
        <f>Sales[[#This Row],[Turnover]]*1000/Sales[[#This Row],[Quantity]]</f>
        <v>596.52173913043475</v>
      </c>
      <c r="J513" s="5">
        <f>Sales[[#This Row],[Quantity]]/SUM(Sales[Quantity])</f>
        <v>1.0437636483442278E-3</v>
      </c>
    </row>
    <row r="514" spans="1:10" x14ac:dyDescent="0.25">
      <c r="A514" t="s">
        <v>27</v>
      </c>
      <c r="B514" t="s">
        <v>22</v>
      </c>
      <c r="C514" t="s">
        <v>4</v>
      </c>
      <c r="D514">
        <v>2019</v>
      </c>
      <c r="E514">
        <v>552</v>
      </c>
      <c r="F514">
        <v>332</v>
      </c>
      <c r="G514">
        <v>321</v>
      </c>
      <c r="H514">
        <f>Sales[[#This Row],[Turnover]]-Sales[[#This Row],[Cost]]</f>
        <v>11</v>
      </c>
      <c r="I514" s="3">
        <f>Sales[[#This Row],[Turnover]]*1000/Sales[[#This Row],[Quantity]]</f>
        <v>601.44927536231887</v>
      </c>
      <c r="J514" s="5">
        <f>Sales[[#This Row],[Quantity]]/SUM(Sales[Quantity])</f>
        <v>1.0020131024104588E-3</v>
      </c>
    </row>
    <row r="515" spans="1:10" x14ac:dyDescent="0.25">
      <c r="A515" t="s">
        <v>27</v>
      </c>
      <c r="B515" t="s">
        <v>22</v>
      </c>
      <c r="C515" t="s">
        <v>19</v>
      </c>
      <c r="D515">
        <v>2019</v>
      </c>
      <c r="E515">
        <v>567</v>
      </c>
      <c r="F515">
        <v>337</v>
      </c>
      <c r="G515">
        <v>330</v>
      </c>
      <c r="H515">
        <f>Sales[[#This Row],[Turnover]]-Sales[[#This Row],[Cost]]</f>
        <v>7</v>
      </c>
      <c r="I515" s="3">
        <f>Sales[[#This Row],[Turnover]]*1000/Sales[[#This Row],[Quantity]]</f>
        <v>594.3562610229277</v>
      </c>
      <c r="J515" s="5">
        <f>Sales[[#This Row],[Quantity]]/SUM(Sales[Quantity])</f>
        <v>1.0292417193237865E-3</v>
      </c>
    </row>
    <row r="516" spans="1:10" x14ac:dyDescent="0.25">
      <c r="A516" t="s">
        <v>28</v>
      </c>
      <c r="B516" t="s">
        <v>22</v>
      </c>
      <c r="C516" t="s">
        <v>12</v>
      </c>
      <c r="D516">
        <v>2019</v>
      </c>
      <c r="E516">
        <v>530</v>
      </c>
      <c r="F516">
        <v>421</v>
      </c>
      <c r="G516">
        <v>319</v>
      </c>
      <c r="H516">
        <f>Sales[[#This Row],[Turnover]]-Sales[[#This Row],[Cost]]</f>
        <v>102</v>
      </c>
      <c r="I516" s="3">
        <f>Sales[[#This Row],[Turnover]]*1000/Sales[[#This Row],[Quantity]]</f>
        <v>794.33962264150944</v>
      </c>
      <c r="J516" s="5">
        <f>Sales[[#This Row],[Quantity]]/SUM(Sales[Quantity])</f>
        <v>9.6207779760424479E-4</v>
      </c>
    </row>
    <row r="517" spans="1:10" x14ac:dyDescent="0.25">
      <c r="A517" t="s">
        <v>28</v>
      </c>
      <c r="B517" t="s">
        <v>22</v>
      </c>
      <c r="C517" t="s">
        <v>13</v>
      </c>
      <c r="D517">
        <v>2019</v>
      </c>
      <c r="E517">
        <v>524</v>
      </c>
      <c r="F517">
        <v>421</v>
      </c>
      <c r="G517">
        <v>316</v>
      </c>
      <c r="H517">
        <f>Sales[[#This Row],[Turnover]]-Sales[[#This Row],[Cost]]</f>
        <v>105</v>
      </c>
      <c r="I517" s="3">
        <f>Sales[[#This Row],[Turnover]]*1000/Sales[[#This Row],[Quantity]]</f>
        <v>803.43511450381675</v>
      </c>
      <c r="J517" s="5">
        <f>Sales[[#This Row],[Quantity]]/SUM(Sales[Quantity])</f>
        <v>9.5118635083891372E-4</v>
      </c>
    </row>
    <row r="518" spans="1:10" x14ac:dyDescent="0.25">
      <c r="A518" t="s">
        <v>28</v>
      </c>
      <c r="B518" t="s">
        <v>22</v>
      </c>
      <c r="C518" t="s">
        <v>16</v>
      </c>
      <c r="D518">
        <v>2019</v>
      </c>
      <c r="E518">
        <v>519</v>
      </c>
      <c r="F518">
        <v>416</v>
      </c>
      <c r="G518">
        <v>313</v>
      </c>
      <c r="H518">
        <f>Sales[[#This Row],[Turnover]]-Sales[[#This Row],[Cost]]</f>
        <v>103</v>
      </c>
      <c r="I518" s="3">
        <f>Sales[[#This Row],[Turnover]]*1000/Sales[[#This Row],[Quantity]]</f>
        <v>801.54142581888243</v>
      </c>
      <c r="J518" s="5">
        <f>Sales[[#This Row],[Quantity]]/SUM(Sales[Quantity])</f>
        <v>9.4211014520113781E-4</v>
      </c>
    </row>
    <row r="519" spans="1:10" x14ac:dyDescent="0.25">
      <c r="A519" t="s">
        <v>28</v>
      </c>
      <c r="B519" t="s">
        <v>22</v>
      </c>
      <c r="C519" t="s">
        <v>1</v>
      </c>
      <c r="D519">
        <v>2019</v>
      </c>
      <c r="E519">
        <v>452</v>
      </c>
      <c r="F519">
        <v>365</v>
      </c>
      <c r="G519">
        <v>272</v>
      </c>
      <c r="H519">
        <f>Sales[[#This Row],[Turnover]]-Sales[[#This Row],[Cost]]</f>
        <v>93</v>
      </c>
      <c r="I519" s="3">
        <f>Sales[[#This Row],[Turnover]]*1000/Sales[[#This Row],[Quantity]]</f>
        <v>807.52212389380531</v>
      </c>
      <c r="J519" s="5">
        <f>Sales[[#This Row],[Quantity]]/SUM(Sales[Quantity])</f>
        <v>8.2048898965494086E-4</v>
      </c>
    </row>
    <row r="520" spans="1:10" x14ac:dyDescent="0.25">
      <c r="A520" t="s">
        <v>28</v>
      </c>
      <c r="B520" t="s">
        <v>22</v>
      </c>
      <c r="C520" t="s">
        <v>17</v>
      </c>
      <c r="D520">
        <v>2019</v>
      </c>
      <c r="E520">
        <v>438</v>
      </c>
      <c r="F520">
        <v>348</v>
      </c>
      <c r="G520">
        <v>263</v>
      </c>
      <c r="H520">
        <f>Sales[[#This Row],[Turnover]]-Sales[[#This Row],[Cost]]</f>
        <v>85</v>
      </c>
      <c r="I520" s="3">
        <f>Sales[[#This Row],[Turnover]]*1000/Sales[[#This Row],[Quantity]]</f>
        <v>794.52054794520552</v>
      </c>
      <c r="J520" s="5">
        <f>Sales[[#This Row],[Quantity]]/SUM(Sales[Quantity])</f>
        <v>7.9507561386916829E-4</v>
      </c>
    </row>
    <row r="521" spans="1:10" x14ac:dyDescent="0.25">
      <c r="A521" t="s">
        <v>28</v>
      </c>
      <c r="B521" t="s">
        <v>22</v>
      </c>
      <c r="C521" t="s">
        <v>15</v>
      </c>
      <c r="D521">
        <v>2019</v>
      </c>
      <c r="E521">
        <v>581</v>
      </c>
      <c r="F521">
        <v>403</v>
      </c>
      <c r="G521">
        <v>350</v>
      </c>
      <c r="H521">
        <f>Sales[[#This Row],[Turnover]]-Sales[[#This Row],[Cost]]</f>
        <v>53</v>
      </c>
      <c r="I521" s="3">
        <f>Sales[[#This Row],[Turnover]]*1000/Sales[[#This Row],[Quantity]]</f>
        <v>693.631669535284</v>
      </c>
      <c r="J521" s="5">
        <f>Sales[[#This Row],[Quantity]]/SUM(Sales[Quantity])</f>
        <v>1.0546550951095589E-3</v>
      </c>
    </row>
    <row r="522" spans="1:10" x14ac:dyDescent="0.25">
      <c r="A522" t="s">
        <v>28</v>
      </c>
      <c r="B522" t="s">
        <v>22</v>
      </c>
      <c r="C522" t="s">
        <v>14</v>
      </c>
      <c r="D522">
        <v>2019</v>
      </c>
      <c r="E522">
        <v>512</v>
      </c>
      <c r="F522">
        <v>357</v>
      </c>
      <c r="G522">
        <v>308</v>
      </c>
      <c r="H522">
        <f>Sales[[#This Row],[Turnover]]-Sales[[#This Row],[Cost]]</f>
        <v>49</v>
      </c>
      <c r="I522" s="3">
        <f>Sales[[#This Row],[Turnover]]*1000/Sales[[#This Row],[Quantity]]</f>
        <v>697.265625</v>
      </c>
      <c r="J522" s="5">
        <f>Sales[[#This Row],[Quantity]]/SUM(Sales[Quantity])</f>
        <v>9.2940345730825157E-4</v>
      </c>
    </row>
    <row r="523" spans="1:10" x14ac:dyDescent="0.25">
      <c r="A523" t="s">
        <v>28</v>
      </c>
      <c r="B523" t="s">
        <v>22</v>
      </c>
      <c r="C523" t="s">
        <v>2</v>
      </c>
      <c r="D523">
        <v>2019</v>
      </c>
      <c r="E523">
        <v>466</v>
      </c>
      <c r="F523">
        <v>326</v>
      </c>
      <c r="G523">
        <v>281</v>
      </c>
      <c r="H523">
        <f>Sales[[#This Row],[Turnover]]-Sales[[#This Row],[Cost]]</f>
        <v>45</v>
      </c>
      <c r="I523" s="3">
        <f>Sales[[#This Row],[Turnover]]*1000/Sales[[#This Row],[Quantity]]</f>
        <v>699.57081545064375</v>
      </c>
      <c r="J523" s="5">
        <f>Sales[[#This Row],[Quantity]]/SUM(Sales[Quantity])</f>
        <v>8.4590236544071333E-4</v>
      </c>
    </row>
    <row r="524" spans="1:10" x14ac:dyDescent="0.25">
      <c r="A524" t="s">
        <v>28</v>
      </c>
      <c r="B524" t="s">
        <v>22</v>
      </c>
      <c r="C524" t="s">
        <v>3</v>
      </c>
      <c r="D524">
        <v>2019</v>
      </c>
      <c r="E524">
        <v>513</v>
      </c>
      <c r="F524">
        <v>357</v>
      </c>
      <c r="G524">
        <v>309</v>
      </c>
      <c r="H524">
        <f>Sales[[#This Row],[Turnover]]-Sales[[#This Row],[Cost]]</f>
        <v>48</v>
      </c>
      <c r="I524" s="3">
        <f>Sales[[#This Row],[Turnover]]*1000/Sales[[#This Row],[Quantity]]</f>
        <v>695.90643274853801</v>
      </c>
      <c r="J524" s="5">
        <f>Sales[[#This Row],[Quantity]]/SUM(Sales[Quantity])</f>
        <v>9.3121869843580674E-4</v>
      </c>
    </row>
    <row r="525" spans="1:10" x14ac:dyDescent="0.25">
      <c r="A525" t="s">
        <v>28</v>
      </c>
      <c r="B525" t="s">
        <v>22</v>
      </c>
      <c r="C525" t="s">
        <v>18</v>
      </c>
      <c r="D525">
        <v>2019</v>
      </c>
      <c r="E525">
        <v>563</v>
      </c>
      <c r="F525">
        <v>393</v>
      </c>
      <c r="G525">
        <v>339</v>
      </c>
      <c r="H525">
        <f>Sales[[#This Row],[Turnover]]-Sales[[#This Row],[Cost]]</f>
        <v>54</v>
      </c>
      <c r="I525" s="3">
        <f>Sales[[#This Row],[Turnover]]*1000/Sales[[#This Row],[Quantity]]</f>
        <v>698.04618117229131</v>
      </c>
      <c r="J525" s="5">
        <f>Sales[[#This Row],[Quantity]]/SUM(Sales[Quantity])</f>
        <v>1.0219807548135656E-3</v>
      </c>
    </row>
    <row r="526" spans="1:10" x14ac:dyDescent="0.25">
      <c r="A526" t="s">
        <v>28</v>
      </c>
      <c r="B526" t="s">
        <v>22</v>
      </c>
      <c r="C526" t="s">
        <v>4</v>
      </c>
      <c r="D526">
        <v>2019</v>
      </c>
      <c r="E526">
        <v>455</v>
      </c>
      <c r="F526">
        <v>319</v>
      </c>
      <c r="G526">
        <v>274</v>
      </c>
      <c r="H526">
        <f>Sales[[#This Row],[Turnover]]-Sales[[#This Row],[Cost]]</f>
        <v>45</v>
      </c>
      <c r="I526" s="3">
        <f>Sales[[#This Row],[Turnover]]*1000/Sales[[#This Row],[Quantity]]</f>
        <v>701.09890109890114</v>
      </c>
      <c r="J526" s="5">
        <f>Sales[[#This Row],[Quantity]]/SUM(Sales[Quantity])</f>
        <v>8.2593471303760635E-4</v>
      </c>
    </row>
    <row r="527" spans="1:10" x14ac:dyDescent="0.25">
      <c r="A527" t="s">
        <v>28</v>
      </c>
      <c r="B527" t="s">
        <v>22</v>
      </c>
      <c r="C527" t="s">
        <v>19</v>
      </c>
      <c r="D527">
        <v>2019</v>
      </c>
      <c r="E527">
        <v>449</v>
      </c>
      <c r="F527">
        <v>314</v>
      </c>
      <c r="G527">
        <v>270</v>
      </c>
      <c r="H527">
        <f>Sales[[#This Row],[Turnover]]-Sales[[#This Row],[Cost]]</f>
        <v>44</v>
      </c>
      <c r="I527" s="3">
        <f>Sales[[#This Row],[Turnover]]*1000/Sales[[#This Row],[Quantity]]</f>
        <v>699.33184855233856</v>
      </c>
      <c r="J527" s="5">
        <f>Sales[[#This Row],[Quantity]]/SUM(Sales[Quantity])</f>
        <v>8.1504326627227527E-4</v>
      </c>
    </row>
    <row r="528" spans="1:10" x14ac:dyDescent="0.25">
      <c r="A528" t="s">
        <v>30</v>
      </c>
      <c r="B528" t="s">
        <v>22</v>
      </c>
      <c r="C528" t="s">
        <v>12</v>
      </c>
      <c r="D528">
        <v>2019</v>
      </c>
      <c r="E528">
        <v>497</v>
      </c>
      <c r="F528">
        <v>745</v>
      </c>
      <c r="G528">
        <v>603</v>
      </c>
      <c r="H528">
        <f>Sales[[#This Row],[Turnover]]-Sales[[#This Row],[Cost]]</f>
        <v>142</v>
      </c>
      <c r="I528" s="3">
        <f>Sales[[#This Row],[Turnover]]*1000/Sales[[#This Row],[Quantity]]</f>
        <v>1498.9939637826963</v>
      </c>
      <c r="J528" s="5">
        <f>Sales[[#This Row],[Quantity]]/SUM(Sales[Quantity])</f>
        <v>9.0217484039492384E-4</v>
      </c>
    </row>
    <row r="529" spans="1:10" x14ac:dyDescent="0.25">
      <c r="A529" t="s">
        <v>30</v>
      </c>
      <c r="B529" t="s">
        <v>22</v>
      </c>
      <c r="C529" t="s">
        <v>13</v>
      </c>
      <c r="D529">
        <v>2019</v>
      </c>
      <c r="E529">
        <v>376</v>
      </c>
      <c r="F529">
        <v>562</v>
      </c>
      <c r="G529">
        <v>455</v>
      </c>
      <c r="H529">
        <f>Sales[[#This Row],[Turnover]]-Sales[[#This Row],[Cost]]</f>
        <v>107</v>
      </c>
      <c r="I529" s="3">
        <f>Sales[[#This Row],[Turnover]]*1000/Sales[[#This Row],[Quantity]]</f>
        <v>1494.6808510638298</v>
      </c>
      <c r="J529" s="5">
        <f>Sales[[#This Row],[Quantity]]/SUM(Sales[Quantity])</f>
        <v>6.8253066396074726E-4</v>
      </c>
    </row>
    <row r="530" spans="1:10" x14ac:dyDescent="0.25">
      <c r="A530" t="s">
        <v>30</v>
      </c>
      <c r="B530" t="s">
        <v>22</v>
      </c>
      <c r="C530" t="s">
        <v>16</v>
      </c>
      <c r="D530">
        <v>2019</v>
      </c>
      <c r="E530">
        <v>332</v>
      </c>
      <c r="F530">
        <v>494</v>
      </c>
      <c r="G530">
        <v>403</v>
      </c>
      <c r="H530">
        <f>Sales[[#This Row],[Turnover]]-Sales[[#This Row],[Cost]]</f>
        <v>91</v>
      </c>
      <c r="I530" s="3">
        <f>Sales[[#This Row],[Turnover]]*1000/Sales[[#This Row],[Quantity]]</f>
        <v>1487.9518072289156</v>
      </c>
      <c r="J530" s="5">
        <f>Sales[[#This Row],[Quantity]]/SUM(Sales[Quantity])</f>
        <v>6.0266005434831934E-4</v>
      </c>
    </row>
    <row r="531" spans="1:10" x14ac:dyDescent="0.25">
      <c r="A531" t="s">
        <v>30</v>
      </c>
      <c r="B531" t="s">
        <v>22</v>
      </c>
      <c r="C531" t="s">
        <v>1</v>
      </c>
      <c r="D531">
        <v>2019</v>
      </c>
      <c r="E531">
        <v>343</v>
      </c>
      <c r="F531">
        <v>518</v>
      </c>
      <c r="G531">
        <v>416</v>
      </c>
      <c r="H531">
        <f>Sales[[#This Row],[Turnover]]-Sales[[#This Row],[Cost]]</f>
        <v>102</v>
      </c>
      <c r="I531" s="3">
        <f>Sales[[#This Row],[Turnover]]*1000/Sales[[#This Row],[Quantity]]</f>
        <v>1510.204081632653</v>
      </c>
      <c r="J531" s="5">
        <f>Sales[[#This Row],[Quantity]]/SUM(Sales[Quantity])</f>
        <v>6.2262770675142632E-4</v>
      </c>
    </row>
    <row r="532" spans="1:10" x14ac:dyDescent="0.25">
      <c r="A532" t="s">
        <v>30</v>
      </c>
      <c r="B532" t="s">
        <v>22</v>
      </c>
      <c r="C532" t="s">
        <v>17</v>
      </c>
      <c r="D532">
        <v>2019</v>
      </c>
      <c r="E532">
        <v>317</v>
      </c>
      <c r="F532">
        <v>479</v>
      </c>
      <c r="G532">
        <v>384</v>
      </c>
      <c r="H532">
        <f>Sales[[#This Row],[Turnover]]-Sales[[#This Row],[Cost]]</f>
        <v>95</v>
      </c>
      <c r="I532" s="3">
        <f>Sales[[#This Row],[Turnover]]*1000/Sales[[#This Row],[Quantity]]</f>
        <v>1511.0410094637225</v>
      </c>
      <c r="J532" s="5">
        <f>Sales[[#This Row],[Quantity]]/SUM(Sales[Quantity])</f>
        <v>5.7543143743499171E-4</v>
      </c>
    </row>
    <row r="533" spans="1:10" x14ac:dyDescent="0.25">
      <c r="A533" t="s">
        <v>30</v>
      </c>
      <c r="B533" t="s">
        <v>22</v>
      </c>
      <c r="C533" t="s">
        <v>15</v>
      </c>
      <c r="D533">
        <v>2019</v>
      </c>
      <c r="E533">
        <v>280</v>
      </c>
      <c r="F533">
        <v>421</v>
      </c>
      <c r="G533">
        <v>339</v>
      </c>
      <c r="H533">
        <f>Sales[[#This Row],[Turnover]]-Sales[[#This Row],[Cost]]</f>
        <v>82</v>
      </c>
      <c r="I533" s="3">
        <f>Sales[[#This Row],[Turnover]]*1000/Sales[[#This Row],[Quantity]]</f>
        <v>1503.5714285714287</v>
      </c>
      <c r="J533" s="5">
        <f>Sales[[#This Row],[Quantity]]/SUM(Sales[Quantity])</f>
        <v>5.0826751571545002E-4</v>
      </c>
    </row>
    <row r="534" spans="1:10" x14ac:dyDescent="0.25">
      <c r="A534" t="s">
        <v>30</v>
      </c>
      <c r="B534" t="s">
        <v>22</v>
      </c>
      <c r="C534" t="s">
        <v>14</v>
      </c>
      <c r="D534">
        <v>2019</v>
      </c>
      <c r="E534">
        <v>268</v>
      </c>
      <c r="F534">
        <v>400</v>
      </c>
      <c r="G534">
        <v>325</v>
      </c>
      <c r="H534">
        <f>Sales[[#This Row],[Turnover]]-Sales[[#This Row],[Cost]]</f>
        <v>75</v>
      </c>
      <c r="I534" s="3">
        <f>Sales[[#This Row],[Turnover]]*1000/Sales[[#This Row],[Quantity]]</f>
        <v>1492.5373134328358</v>
      </c>
      <c r="J534" s="5">
        <f>Sales[[#This Row],[Quantity]]/SUM(Sales[Quantity])</f>
        <v>4.8648462218478793E-4</v>
      </c>
    </row>
    <row r="535" spans="1:10" x14ac:dyDescent="0.25">
      <c r="A535" t="s">
        <v>26</v>
      </c>
      <c r="B535" t="s">
        <v>22</v>
      </c>
      <c r="C535" t="s">
        <v>12</v>
      </c>
      <c r="D535">
        <v>2019</v>
      </c>
      <c r="E535">
        <v>270</v>
      </c>
      <c r="F535">
        <v>953</v>
      </c>
      <c r="G535">
        <v>328</v>
      </c>
      <c r="H535">
        <f>Sales[[#This Row],[Turnover]]-Sales[[#This Row],[Cost]]</f>
        <v>625</v>
      </c>
      <c r="I535" s="3">
        <f>Sales[[#This Row],[Turnover]]*1000/Sales[[#This Row],[Quantity]]</f>
        <v>3529.6296296296296</v>
      </c>
      <c r="J535" s="5">
        <f>Sales[[#This Row],[Quantity]]/SUM(Sales[Quantity])</f>
        <v>4.901151044398983E-4</v>
      </c>
    </row>
    <row r="536" spans="1:10" x14ac:dyDescent="0.25">
      <c r="A536" t="s">
        <v>26</v>
      </c>
      <c r="B536" t="s">
        <v>22</v>
      </c>
      <c r="C536" t="s">
        <v>13</v>
      </c>
      <c r="D536">
        <v>2019</v>
      </c>
      <c r="E536">
        <v>313</v>
      </c>
      <c r="F536">
        <v>1103</v>
      </c>
      <c r="G536">
        <v>380</v>
      </c>
      <c r="H536">
        <f>Sales[[#This Row],[Turnover]]-Sales[[#This Row],[Cost]]</f>
        <v>723</v>
      </c>
      <c r="I536" s="3">
        <f>Sales[[#This Row],[Turnover]]*1000/Sales[[#This Row],[Quantity]]</f>
        <v>3523.961661341853</v>
      </c>
      <c r="J536" s="5">
        <f>Sales[[#This Row],[Quantity]]/SUM(Sales[Quantity])</f>
        <v>5.6817047292477096E-4</v>
      </c>
    </row>
    <row r="537" spans="1:10" x14ac:dyDescent="0.25">
      <c r="A537" t="s">
        <v>26</v>
      </c>
      <c r="B537" t="s">
        <v>22</v>
      </c>
      <c r="C537" t="s">
        <v>16</v>
      </c>
      <c r="D537">
        <v>2019</v>
      </c>
      <c r="E537">
        <v>298</v>
      </c>
      <c r="F537">
        <v>1034</v>
      </c>
      <c r="G537">
        <v>362</v>
      </c>
      <c r="H537">
        <f>Sales[[#This Row],[Turnover]]-Sales[[#This Row],[Cost]]</f>
        <v>672</v>
      </c>
      <c r="I537" s="3">
        <f>Sales[[#This Row],[Turnover]]*1000/Sales[[#This Row],[Quantity]]</f>
        <v>3469.7986577181209</v>
      </c>
      <c r="J537" s="5">
        <f>Sales[[#This Row],[Quantity]]/SUM(Sales[Quantity])</f>
        <v>5.4094185601144323E-4</v>
      </c>
    </row>
    <row r="538" spans="1:10" x14ac:dyDescent="0.25">
      <c r="A538" t="s">
        <v>26</v>
      </c>
      <c r="B538" t="s">
        <v>22</v>
      </c>
      <c r="C538" t="s">
        <v>1</v>
      </c>
      <c r="D538">
        <v>2019</v>
      </c>
      <c r="E538">
        <v>288</v>
      </c>
      <c r="F538">
        <v>1012</v>
      </c>
      <c r="G538">
        <v>349</v>
      </c>
      <c r="H538">
        <f>Sales[[#This Row],[Turnover]]-Sales[[#This Row],[Cost]]</f>
        <v>663</v>
      </c>
      <c r="I538" s="3">
        <f>Sales[[#This Row],[Turnover]]*1000/Sales[[#This Row],[Quantity]]</f>
        <v>3513.8888888888887</v>
      </c>
      <c r="J538" s="5">
        <f>Sales[[#This Row],[Quantity]]/SUM(Sales[Quantity])</f>
        <v>5.2278944473589152E-4</v>
      </c>
    </row>
    <row r="539" spans="1:10" x14ac:dyDescent="0.25">
      <c r="A539" t="s">
        <v>26</v>
      </c>
      <c r="B539" t="s">
        <v>22</v>
      </c>
      <c r="C539" t="s">
        <v>17</v>
      </c>
      <c r="D539">
        <v>2019</v>
      </c>
      <c r="E539">
        <v>233</v>
      </c>
      <c r="F539">
        <v>821</v>
      </c>
      <c r="G539">
        <v>283</v>
      </c>
      <c r="H539">
        <f>Sales[[#This Row],[Turnover]]-Sales[[#This Row],[Cost]]</f>
        <v>538</v>
      </c>
      <c r="I539" s="3">
        <f>Sales[[#This Row],[Turnover]]*1000/Sales[[#This Row],[Quantity]]</f>
        <v>3523.6051502145924</v>
      </c>
      <c r="J539" s="5">
        <f>Sales[[#This Row],[Quantity]]/SUM(Sales[Quantity])</f>
        <v>4.2295118272035666E-4</v>
      </c>
    </row>
    <row r="540" spans="1:10" x14ac:dyDescent="0.25">
      <c r="A540" t="s">
        <v>26</v>
      </c>
      <c r="B540" t="s">
        <v>22</v>
      </c>
      <c r="C540" t="s">
        <v>15</v>
      </c>
      <c r="D540">
        <v>2019</v>
      </c>
      <c r="E540">
        <v>269</v>
      </c>
      <c r="F540">
        <v>940</v>
      </c>
      <c r="G540">
        <v>327</v>
      </c>
      <c r="H540">
        <f>Sales[[#This Row],[Turnover]]-Sales[[#This Row],[Cost]]</f>
        <v>613</v>
      </c>
      <c r="I540" s="3">
        <f>Sales[[#This Row],[Turnover]]*1000/Sales[[#This Row],[Quantity]]</f>
        <v>3494.4237918215613</v>
      </c>
      <c r="J540" s="5">
        <f>Sales[[#This Row],[Quantity]]/SUM(Sales[Quantity])</f>
        <v>4.8829986331234314E-4</v>
      </c>
    </row>
    <row r="541" spans="1:10" x14ac:dyDescent="0.25">
      <c r="A541" t="s">
        <v>26</v>
      </c>
      <c r="B541" t="s">
        <v>22</v>
      </c>
      <c r="C541" t="s">
        <v>14</v>
      </c>
      <c r="D541">
        <v>2019</v>
      </c>
      <c r="E541">
        <v>286</v>
      </c>
      <c r="F541">
        <v>997</v>
      </c>
      <c r="G541">
        <v>348</v>
      </c>
      <c r="H541">
        <f>Sales[[#This Row],[Turnover]]-Sales[[#This Row],[Cost]]</f>
        <v>649</v>
      </c>
      <c r="I541" s="3">
        <f>Sales[[#This Row],[Turnover]]*1000/Sales[[#This Row],[Quantity]]</f>
        <v>3486.0139860139861</v>
      </c>
      <c r="J541" s="5">
        <f>Sales[[#This Row],[Quantity]]/SUM(Sales[Quantity])</f>
        <v>5.1915896248078109E-4</v>
      </c>
    </row>
    <row r="542" spans="1:10" x14ac:dyDescent="0.25">
      <c r="A542" t="s">
        <v>26</v>
      </c>
      <c r="B542" t="s">
        <v>22</v>
      </c>
      <c r="C542" t="s">
        <v>2</v>
      </c>
      <c r="D542">
        <v>2019</v>
      </c>
      <c r="E542">
        <v>246</v>
      </c>
      <c r="F542">
        <v>868</v>
      </c>
      <c r="G542">
        <v>299</v>
      </c>
      <c r="H542">
        <f>Sales[[#This Row],[Turnover]]-Sales[[#This Row],[Cost]]</f>
        <v>569</v>
      </c>
      <c r="I542" s="3">
        <f>Sales[[#This Row],[Turnover]]*1000/Sales[[#This Row],[Quantity]]</f>
        <v>3528.4552845528456</v>
      </c>
      <c r="J542" s="5">
        <f>Sales[[#This Row],[Quantity]]/SUM(Sales[Quantity])</f>
        <v>4.4654931737857397E-4</v>
      </c>
    </row>
    <row r="543" spans="1:10" x14ac:dyDescent="0.25">
      <c r="A543" t="s">
        <v>26</v>
      </c>
      <c r="B543" t="s">
        <v>22</v>
      </c>
      <c r="C543" t="s">
        <v>3</v>
      </c>
      <c r="D543">
        <v>2019</v>
      </c>
      <c r="E543">
        <v>192</v>
      </c>
      <c r="F543">
        <v>665</v>
      </c>
      <c r="G543">
        <v>233</v>
      </c>
      <c r="H543">
        <f>Sales[[#This Row],[Turnover]]-Sales[[#This Row],[Cost]]</f>
        <v>432</v>
      </c>
      <c r="I543" s="3">
        <f>Sales[[#This Row],[Turnover]]*1000/Sales[[#This Row],[Quantity]]</f>
        <v>3463.5416666666665</v>
      </c>
      <c r="J543" s="5">
        <f>Sales[[#This Row],[Quantity]]/SUM(Sales[Quantity])</f>
        <v>3.4852629649059433E-4</v>
      </c>
    </row>
    <row r="544" spans="1:10" x14ac:dyDescent="0.25">
      <c r="A544" t="s">
        <v>26</v>
      </c>
      <c r="B544" t="s">
        <v>22</v>
      </c>
      <c r="C544" t="s">
        <v>18</v>
      </c>
      <c r="D544">
        <v>2019</v>
      </c>
      <c r="E544">
        <v>182</v>
      </c>
      <c r="F544">
        <v>641</v>
      </c>
      <c r="G544">
        <v>221</v>
      </c>
      <c r="H544">
        <f>Sales[[#This Row],[Turnover]]-Sales[[#This Row],[Cost]]</f>
        <v>420</v>
      </c>
      <c r="I544" s="3">
        <f>Sales[[#This Row],[Turnover]]*1000/Sales[[#This Row],[Quantity]]</f>
        <v>3521.9780219780218</v>
      </c>
      <c r="J544" s="5">
        <f>Sales[[#This Row],[Quantity]]/SUM(Sales[Quantity])</f>
        <v>3.3037388521504256E-4</v>
      </c>
    </row>
    <row r="545" spans="1:10" x14ac:dyDescent="0.25">
      <c r="A545" t="s">
        <v>29</v>
      </c>
      <c r="B545" t="s">
        <v>22</v>
      </c>
      <c r="C545" t="s">
        <v>12</v>
      </c>
      <c r="D545">
        <v>2019</v>
      </c>
      <c r="E545">
        <v>251</v>
      </c>
      <c r="F545">
        <v>1021</v>
      </c>
      <c r="G545">
        <v>359</v>
      </c>
      <c r="H545">
        <f>Sales[[#This Row],[Turnover]]-Sales[[#This Row],[Cost]]</f>
        <v>662</v>
      </c>
      <c r="I545" s="3">
        <f>Sales[[#This Row],[Turnover]]*1000/Sales[[#This Row],[Quantity]]</f>
        <v>4067.7290836653387</v>
      </c>
      <c r="J545" s="5">
        <f>Sales[[#This Row],[Quantity]]/SUM(Sales[Quantity])</f>
        <v>4.5562552301634988E-4</v>
      </c>
    </row>
    <row r="546" spans="1:10" x14ac:dyDescent="0.25">
      <c r="A546" t="s">
        <v>29</v>
      </c>
      <c r="B546" t="s">
        <v>22</v>
      </c>
      <c r="C546" t="s">
        <v>13</v>
      </c>
      <c r="D546">
        <v>2019</v>
      </c>
      <c r="E546">
        <v>244</v>
      </c>
      <c r="F546">
        <v>1008</v>
      </c>
      <c r="G546">
        <v>350</v>
      </c>
      <c r="H546">
        <f>Sales[[#This Row],[Turnover]]-Sales[[#This Row],[Cost]]</f>
        <v>658</v>
      </c>
      <c r="I546" s="3">
        <f>Sales[[#This Row],[Turnover]]*1000/Sales[[#This Row],[Quantity]]</f>
        <v>4131.1475409836066</v>
      </c>
      <c r="J546" s="5">
        <f>Sales[[#This Row],[Quantity]]/SUM(Sales[Quantity])</f>
        <v>4.4291883512346365E-4</v>
      </c>
    </row>
    <row r="547" spans="1:10" x14ac:dyDescent="0.25">
      <c r="A547" t="s">
        <v>29</v>
      </c>
      <c r="B547" t="s">
        <v>22</v>
      </c>
      <c r="C547" t="s">
        <v>16</v>
      </c>
      <c r="D547">
        <v>2019</v>
      </c>
      <c r="E547">
        <v>231</v>
      </c>
      <c r="F547">
        <v>937</v>
      </c>
      <c r="G547">
        <v>330</v>
      </c>
      <c r="H547">
        <f>Sales[[#This Row],[Turnover]]-Sales[[#This Row],[Cost]]</f>
        <v>607</v>
      </c>
      <c r="I547" s="3">
        <f>Sales[[#This Row],[Turnover]]*1000/Sales[[#This Row],[Quantity]]</f>
        <v>4056.2770562770561</v>
      </c>
      <c r="J547" s="5">
        <f>Sales[[#This Row],[Quantity]]/SUM(Sales[Quantity])</f>
        <v>4.1932070046524629E-4</v>
      </c>
    </row>
    <row r="548" spans="1:10" x14ac:dyDescent="0.25">
      <c r="A548" t="s">
        <v>29</v>
      </c>
      <c r="B548" t="s">
        <v>22</v>
      </c>
      <c r="C548" t="s">
        <v>1</v>
      </c>
      <c r="D548">
        <v>2019</v>
      </c>
      <c r="E548">
        <v>206</v>
      </c>
      <c r="F548">
        <v>850</v>
      </c>
      <c r="G548">
        <v>295</v>
      </c>
      <c r="H548">
        <f>Sales[[#This Row],[Turnover]]-Sales[[#This Row],[Cost]]</f>
        <v>555</v>
      </c>
      <c r="I548" s="3">
        <f>Sales[[#This Row],[Turnover]]*1000/Sales[[#This Row],[Quantity]]</f>
        <v>4126.2135922330099</v>
      </c>
      <c r="J548" s="5">
        <f>Sales[[#This Row],[Quantity]]/SUM(Sales[Quantity])</f>
        <v>3.7393967227636684E-4</v>
      </c>
    </row>
    <row r="549" spans="1:10" x14ac:dyDescent="0.25">
      <c r="A549" t="s">
        <v>29</v>
      </c>
      <c r="B549" t="s">
        <v>22</v>
      </c>
      <c r="C549" t="s">
        <v>17</v>
      </c>
      <c r="D549">
        <v>2019</v>
      </c>
      <c r="E549">
        <v>227</v>
      </c>
      <c r="F549">
        <v>932</v>
      </c>
      <c r="G549">
        <v>325</v>
      </c>
      <c r="H549">
        <f>Sales[[#This Row],[Turnover]]-Sales[[#This Row],[Cost]]</f>
        <v>607</v>
      </c>
      <c r="I549" s="3">
        <f>Sales[[#This Row],[Turnover]]*1000/Sales[[#This Row],[Quantity]]</f>
        <v>4105.7268722466961</v>
      </c>
      <c r="J549" s="5">
        <f>Sales[[#This Row],[Quantity]]/SUM(Sales[Quantity])</f>
        <v>4.1205973595502559E-4</v>
      </c>
    </row>
    <row r="550" spans="1:10" x14ac:dyDescent="0.25">
      <c r="A550" t="s">
        <v>29</v>
      </c>
      <c r="B550" t="s">
        <v>22</v>
      </c>
      <c r="C550" t="s">
        <v>15</v>
      </c>
      <c r="D550">
        <v>2019</v>
      </c>
      <c r="E550">
        <v>219</v>
      </c>
      <c r="F550">
        <v>907</v>
      </c>
      <c r="G550">
        <v>314</v>
      </c>
      <c r="H550">
        <f>Sales[[#This Row],[Turnover]]-Sales[[#This Row],[Cost]]</f>
        <v>593</v>
      </c>
      <c r="I550" s="3">
        <f>Sales[[#This Row],[Turnover]]*1000/Sales[[#This Row],[Quantity]]</f>
        <v>4141.5525114155253</v>
      </c>
      <c r="J550" s="5">
        <f>Sales[[#This Row],[Quantity]]/SUM(Sales[Quantity])</f>
        <v>3.9753780693458415E-4</v>
      </c>
    </row>
    <row r="551" spans="1:10" x14ac:dyDescent="0.25">
      <c r="A551" t="s">
        <v>29</v>
      </c>
      <c r="B551" t="s">
        <v>22</v>
      </c>
      <c r="C551" t="s">
        <v>14</v>
      </c>
      <c r="D551">
        <v>2019</v>
      </c>
      <c r="E551">
        <v>214</v>
      </c>
      <c r="F551">
        <v>880</v>
      </c>
      <c r="G551">
        <v>306</v>
      </c>
      <c r="H551">
        <f>Sales[[#This Row],[Turnover]]-Sales[[#This Row],[Cost]]</f>
        <v>574</v>
      </c>
      <c r="I551" s="3">
        <f>Sales[[#This Row],[Turnover]]*1000/Sales[[#This Row],[Quantity]]</f>
        <v>4112.1495327102803</v>
      </c>
      <c r="J551" s="5">
        <f>Sales[[#This Row],[Quantity]]/SUM(Sales[Quantity])</f>
        <v>3.8846160129680824E-4</v>
      </c>
    </row>
    <row r="552" spans="1:10" x14ac:dyDescent="0.25">
      <c r="A552" t="s">
        <v>29</v>
      </c>
      <c r="B552" t="s">
        <v>22</v>
      </c>
      <c r="C552" t="s">
        <v>2</v>
      </c>
      <c r="D552">
        <v>2019</v>
      </c>
      <c r="E552">
        <v>190</v>
      </c>
      <c r="F552">
        <v>777</v>
      </c>
      <c r="G552">
        <v>271</v>
      </c>
      <c r="H552">
        <f>Sales[[#This Row],[Turnover]]-Sales[[#This Row],[Cost]]</f>
        <v>506</v>
      </c>
      <c r="I552" s="3">
        <f>Sales[[#This Row],[Turnover]]*1000/Sales[[#This Row],[Quantity]]</f>
        <v>4089.4736842105262</v>
      </c>
      <c r="J552" s="5">
        <f>Sales[[#This Row],[Quantity]]/SUM(Sales[Quantity])</f>
        <v>3.4489581423548395E-4</v>
      </c>
    </row>
    <row r="553" spans="1:10" x14ac:dyDescent="0.25">
      <c r="A553" t="s">
        <v>29</v>
      </c>
      <c r="B553" t="s">
        <v>22</v>
      </c>
      <c r="C553" t="s">
        <v>3</v>
      </c>
      <c r="D553">
        <v>2019</v>
      </c>
      <c r="E553">
        <v>182</v>
      </c>
      <c r="F553">
        <v>751</v>
      </c>
      <c r="G553">
        <v>260</v>
      </c>
      <c r="H553">
        <f>Sales[[#This Row],[Turnover]]-Sales[[#This Row],[Cost]]</f>
        <v>491</v>
      </c>
      <c r="I553" s="3">
        <f>Sales[[#This Row],[Turnover]]*1000/Sales[[#This Row],[Quantity]]</f>
        <v>4126.3736263736264</v>
      </c>
      <c r="J553" s="5">
        <f>Sales[[#This Row],[Quantity]]/SUM(Sales[Quantity])</f>
        <v>3.3037388521504256E-4</v>
      </c>
    </row>
    <row r="554" spans="1:10" x14ac:dyDescent="0.25">
      <c r="A554" t="s">
        <v>29</v>
      </c>
      <c r="B554" t="s">
        <v>22</v>
      </c>
      <c r="C554" t="s">
        <v>18</v>
      </c>
      <c r="D554">
        <v>2019</v>
      </c>
      <c r="E554">
        <v>204</v>
      </c>
      <c r="F554">
        <v>837</v>
      </c>
      <c r="G554">
        <v>291</v>
      </c>
      <c r="H554">
        <f>Sales[[#This Row],[Turnover]]-Sales[[#This Row],[Cost]]</f>
        <v>546</v>
      </c>
      <c r="I554" s="3">
        <f>Sales[[#This Row],[Turnover]]*1000/Sales[[#This Row],[Quantity]]</f>
        <v>4102.9411764705883</v>
      </c>
      <c r="J554" s="5">
        <f>Sales[[#This Row],[Quantity]]/SUM(Sales[Quantity])</f>
        <v>3.7030919002125647E-4</v>
      </c>
    </row>
    <row r="555" spans="1:10" x14ac:dyDescent="0.25">
      <c r="A555" t="s">
        <v>27</v>
      </c>
      <c r="B555" t="s">
        <v>22</v>
      </c>
      <c r="C555" t="s">
        <v>12</v>
      </c>
      <c r="D555">
        <v>2020</v>
      </c>
      <c r="E555">
        <v>511</v>
      </c>
      <c r="F555">
        <v>305</v>
      </c>
      <c r="G555">
        <v>297</v>
      </c>
      <c r="H555">
        <f>Sales[[#This Row],[Turnover]]-Sales[[#This Row],[Cost]]</f>
        <v>8</v>
      </c>
      <c r="I555" s="3">
        <f>Sales[[#This Row],[Turnover]]*1000/Sales[[#This Row],[Quantity]]</f>
        <v>596.86888454011739</v>
      </c>
      <c r="J555" s="5">
        <f>Sales[[#This Row],[Quantity]]/SUM(Sales[Quantity])</f>
        <v>9.2758821618069641E-4</v>
      </c>
    </row>
    <row r="556" spans="1:10" x14ac:dyDescent="0.25">
      <c r="A556" t="s">
        <v>27</v>
      </c>
      <c r="B556" t="s">
        <v>22</v>
      </c>
      <c r="C556" t="s">
        <v>13</v>
      </c>
      <c r="D556">
        <v>2020</v>
      </c>
      <c r="E556">
        <v>624</v>
      </c>
      <c r="F556">
        <v>374</v>
      </c>
      <c r="G556">
        <v>363</v>
      </c>
      <c r="H556">
        <f>Sales[[#This Row],[Turnover]]-Sales[[#This Row],[Cost]]</f>
        <v>11</v>
      </c>
      <c r="I556" s="3">
        <f>Sales[[#This Row],[Turnover]]*1000/Sales[[#This Row],[Quantity]]</f>
        <v>599.35897435897436</v>
      </c>
      <c r="J556" s="5">
        <f>Sales[[#This Row],[Quantity]]/SUM(Sales[Quantity])</f>
        <v>1.1327104635944316E-3</v>
      </c>
    </row>
    <row r="557" spans="1:10" x14ac:dyDescent="0.25">
      <c r="A557" t="s">
        <v>27</v>
      </c>
      <c r="B557" t="s">
        <v>22</v>
      </c>
      <c r="C557" t="s">
        <v>16</v>
      </c>
      <c r="D557">
        <v>2020</v>
      </c>
      <c r="E557">
        <v>585</v>
      </c>
      <c r="F557">
        <v>348</v>
      </c>
      <c r="G557">
        <v>340</v>
      </c>
      <c r="H557">
        <f>Sales[[#This Row],[Turnover]]-Sales[[#This Row],[Cost]]</f>
        <v>8</v>
      </c>
      <c r="I557" s="3">
        <f>Sales[[#This Row],[Turnover]]*1000/Sales[[#This Row],[Quantity]]</f>
        <v>594.87179487179492</v>
      </c>
      <c r="J557" s="5">
        <f>Sales[[#This Row],[Quantity]]/SUM(Sales[Quantity])</f>
        <v>1.0619160596197796E-3</v>
      </c>
    </row>
    <row r="558" spans="1:10" x14ac:dyDescent="0.25">
      <c r="A558" t="s">
        <v>27</v>
      </c>
      <c r="B558" t="s">
        <v>22</v>
      </c>
      <c r="C558" t="s">
        <v>1</v>
      </c>
      <c r="D558">
        <v>2020</v>
      </c>
      <c r="E558">
        <v>438</v>
      </c>
      <c r="F558">
        <v>263</v>
      </c>
      <c r="G558">
        <v>255</v>
      </c>
      <c r="H558">
        <f>Sales[[#This Row],[Turnover]]-Sales[[#This Row],[Cost]]</f>
        <v>8</v>
      </c>
      <c r="I558" s="3">
        <f>Sales[[#This Row],[Turnover]]*1000/Sales[[#This Row],[Quantity]]</f>
        <v>600.45662100456616</v>
      </c>
      <c r="J558" s="5">
        <f>Sales[[#This Row],[Quantity]]/SUM(Sales[Quantity])</f>
        <v>7.9507561386916829E-4</v>
      </c>
    </row>
    <row r="559" spans="1:10" x14ac:dyDescent="0.25">
      <c r="A559" t="s">
        <v>27</v>
      </c>
      <c r="B559" t="s">
        <v>22</v>
      </c>
      <c r="C559" t="s">
        <v>17</v>
      </c>
      <c r="D559">
        <v>2020</v>
      </c>
      <c r="E559">
        <v>414</v>
      </c>
      <c r="F559">
        <v>251</v>
      </c>
      <c r="G559">
        <v>241</v>
      </c>
      <c r="H559">
        <f>Sales[[#This Row],[Turnover]]-Sales[[#This Row],[Cost]]</f>
        <v>10</v>
      </c>
      <c r="I559" s="3">
        <f>Sales[[#This Row],[Turnover]]*1000/Sales[[#This Row],[Quantity]]</f>
        <v>606.28019323671492</v>
      </c>
      <c r="J559" s="5">
        <f>Sales[[#This Row],[Quantity]]/SUM(Sales[Quantity])</f>
        <v>7.5150982680784401E-4</v>
      </c>
    </row>
    <row r="560" spans="1:10" x14ac:dyDescent="0.25">
      <c r="A560" t="s">
        <v>27</v>
      </c>
      <c r="B560" t="s">
        <v>22</v>
      </c>
      <c r="C560" t="s">
        <v>15</v>
      </c>
      <c r="D560">
        <v>2020</v>
      </c>
      <c r="E560">
        <v>412</v>
      </c>
      <c r="F560">
        <v>245</v>
      </c>
      <c r="G560">
        <v>240</v>
      </c>
      <c r="H560">
        <f>Sales[[#This Row],[Turnover]]-Sales[[#This Row],[Cost]]</f>
        <v>5</v>
      </c>
      <c r="I560" s="3">
        <f>Sales[[#This Row],[Turnover]]*1000/Sales[[#This Row],[Quantity]]</f>
        <v>594.66019417475729</v>
      </c>
      <c r="J560" s="5">
        <f>Sales[[#This Row],[Quantity]]/SUM(Sales[Quantity])</f>
        <v>7.4787934455273369E-4</v>
      </c>
    </row>
    <row r="561" spans="1:10" x14ac:dyDescent="0.25">
      <c r="A561" t="s">
        <v>27</v>
      </c>
      <c r="B561" t="s">
        <v>22</v>
      </c>
      <c r="C561" t="s">
        <v>14</v>
      </c>
      <c r="D561">
        <v>2020</v>
      </c>
      <c r="E561">
        <v>426</v>
      </c>
      <c r="F561">
        <v>257</v>
      </c>
      <c r="G561">
        <v>248</v>
      </c>
      <c r="H561">
        <f>Sales[[#This Row],[Turnover]]-Sales[[#This Row],[Cost]]</f>
        <v>9</v>
      </c>
      <c r="I561" s="3">
        <f>Sales[[#This Row],[Turnover]]*1000/Sales[[#This Row],[Quantity]]</f>
        <v>603.28638497652582</v>
      </c>
      <c r="J561" s="5">
        <f>Sales[[#This Row],[Quantity]]/SUM(Sales[Quantity])</f>
        <v>7.7329272033850615E-4</v>
      </c>
    </row>
    <row r="562" spans="1:10" x14ac:dyDescent="0.25">
      <c r="A562" t="s">
        <v>27</v>
      </c>
      <c r="B562" t="s">
        <v>22</v>
      </c>
      <c r="C562" t="s">
        <v>2</v>
      </c>
      <c r="D562">
        <v>2020</v>
      </c>
      <c r="E562">
        <v>442</v>
      </c>
      <c r="F562">
        <v>264</v>
      </c>
      <c r="G562">
        <v>257</v>
      </c>
      <c r="H562">
        <f>Sales[[#This Row],[Turnover]]-Sales[[#This Row],[Cost]]</f>
        <v>7</v>
      </c>
      <c r="I562" s="3">
        <f>Sales[[#This Row],[Turnover]]*1000/Sales[[#This Row],[Quantity]]</f>
        <v>597.28506787330321</v>
      </c>
      <c r="J562" s="5">
        <f>Sales[[#This Row],[Quantity]]/SUM(Sales[Quantity])</f>
        <v>8.0233657837938904E-4</v>
      </c>
    </row>
    <row r="563" spans="1:10" x14ac:dyDescent="0.25">
      <c r="A563" t="s">
        <v>27</v>
      </c>
      <c r="B563" t="s">
        <v>22</v>
      </c>
      <c r="C563" t="s">
        <v>3</v>
      </c>
      <c r="D563">
        <v>2020</v>
      </c>
      <c r="E563">
        <v>459</v>
      </c>
      <c r="F563">
        <v>273</v>
      </c>
      <c r="G563">
        <v>267</v>
      </c>
      <c r="H563">
        <f>Sales[[#This Row],[Turnover]]-Sales[[#This Row],[Cost]]</f>
        <v>6</v>
      </c>
      <c r="I563" s="3">
        <f>Sales[[#This Row],[Turnover]]*1000/Sales[[#This Row],[Quantity]]</f>
        <v>594.77124183006538</v>
      </c>
      <c r="J563" s="5">
        <f>Sales[[#This Row],[Quantity]]/SUM(Sales[Quantity])</f>
        <v>8.331956775478271E-4</v>
      </c>
    </row>
    <row r="564" spans="1:10" x14ac:dyDescent="0.25">
      <c r="A564" t="s">
        <v>27</v>
      </c>
      <c r="B564" t="s">
        <v>22</v>
      </c>
      <c r="C564" t="s">
        <v>18</v>
      </c>
      <c r="D564">
        <v>2020</v>
      </c>
      <c r="E564">
        <v>330</v>
      </c>
      <c r="F564">
        <v>198</v>
      </c>
      <c r="G564">
        <v>192</v>
      </c>
      <c r="H564">
        <f>Sales[[#This Row],[Turnover]]-Sales[[#This Row],[Cost]]</f>
        <v>6</v>
      </c>
      <c r="I564" s="3">
        <f>Sales[[#This Row],[Turnover]]*1000/Sales[[#This Row],[Quantity]]</f>
        <v>600</v>
      </c>
      <c r="J564" s="5">
        <f>Sales[[#This Row],[Quantity]]/SUM(Sales[Quantity])</f>
        <v>5.9902957209320901E-4</v>
      </c>
    </row>
    <row r="565" spans="1:10" x14ac:dyDescent="0.25">
      <c r="A565" t="s">
        <v>27</v>
      </c>
      <c r="B565" t="s">
        <v>22</v>
      </c>
      <c r="C565" t="s">
        <v>4</v>
      </c>
      <c r="D565">
        <v>2020</v>
      </c>
      <c r="E565">
        <v>413</v>
      </c>
      <c r="F565">
        <v>247</v>
      </c>
      <c r="G565">
        <v>240</v>
      </c>
      <c r="H565">
        <f>Sales[[#This Row],[Turnover]]-Sales[[#This Row],[Cost]]</f>
        <v>7</v>
      </c>
      <c r="I565" s="3">
        <f>Sales[[#This Row],[Turnover]]*1000/Sales[[#This Row],[Quantity]]</f>
        <v>598.06295399515739</v>
      </c>
      <c r="J565" s="5">
        <f>Sales[[#This Row],[Quantity]]/SUM(Sales[Quantity])</f>
        <v>7.4969458568028885E-4</v>
      </c>
    </row>
    <row r="566" spans="1:10" x14ac:dyDescent="0.25">
      <c r="A566" t="s">
        <v>27</v>
      </c>
      <c r="B566" t="s">
        <v>22</v>
      </c>
      <c r="C566" t="s">
        <v>19</v>
      </c>
      <c r="D566">
        <v>2020</v>
      </c>
      <c r="E566">
        <v>337</v>
      </c>
      <c r="F566">
        <v>202</v>
      </c>
      <c r="G566">
        <v>196</v>
      </c>
      <c r="H566">
        <f>Sales[[#This Row],[Turnover]]-Sales[[#This Row],[Cost]]</f>
        <v>6</v>
      </c>
      <c r="I566" s="3">
        <f>Sales[[#This Row],[Turnover]]*1000/Sales[[#This Row],[Quantity]]</f>
        <v>599.406528189911</v>
      </c>
      <c r="J566" s="5">
        <f>Sales[[#This Row],[Quantity]]/SUM(Sales[Quantity])</f>
        <v>6.1173625998609525E-4</v>
      </c>
    </row>
    <row r="567" spans="1:10" x14ac:dyDescent="0.25">
      <c r="A567" t="s">
        <v>28</v>
      </c>
      <c r="B567" t="s">
        <v>22</v>
      </c>
      <c r="C567" t="s">
        <v>12</v>
      </c>
      <c r="D567">
        <v>2020</v>
      </c>
      <c r="E567">
        <v>471</v>
      </c>
      <c r="F567">
        <v>330</v>
      </c>
      <c r="G567">
        <v>284</v>
      </c>
      <c r="H567">
        <f>Sales[[#This Row],[Turnover]]-Sales[[#This Row],[Cost]]</f>
        <v>46</v>
      </c>
      <c r="I567" s="3">
        <f>Sales[[#This Row],[Turnover]]*1000/Sales[[#This Row],[Quantity]]</f>
        <v>700.63694267515928</v>
      </c>
      <c r="J567" s="5">
        <f>Sales[[#This Row],[Quantity]]/SUM(Sales[Quantity])</f>
        <v>8.5497857107848924E-4</v>
      </c>
    </row>
    <row r="568" spans="1:10" x14ac:dyDescent="0.25">
      <c r="A568" t="s">
        <v>28</v>
      </c>
      <c r="B568" t="s">
        <v>22</v>
      </c>
      <c r="C568" t="s">
        <v>13</v>
      </c>
      <c r="D568">
        <v>2020</v>
      </c>
      <c r="E568">
        <v>440</v>
      </c>
      <c r="F568">
        <v>306</v>
      </c>
      <c r="G568">
        <v>265</v>
      </c>
      <c r="H568">
        <f>Sales[[#This Row],[Turnover]]-Sales[[#This Row],[Cost]]</f>
        <v>41</v>
      </c>
      <c r="I568" s="3">
        <f>Sales[[#This Row],[Turnover]]*1000/Sales[[#This Row],[Quantity]]</f>
        <v>695.4545454545455</v>
      </c>
      <c r="J568" s="5">
        <f>Sales[[#This Row],[Quantity]]/SUM(Sales[Quantity])</f>
        <v>7.9870609612427872E-4</v>
      </c>
    </row>
    <row r="569" spans="1:10" x14ac:dyDescent="0.25">
      <c r="A569" t="s">
        <v>28</v>
      </c>
      <c r="B569" t="s">
        <v>22</v>
      </c>
      <c r="C569" t="s">
        <v>16</v>
      </c>
      <c r="D569">
        <v>2020</v>
      </c>
      <c r="E569">
        <v>399</v>
      </c>
      <c r="F569">
        <v>281</v>
      </c>
      <c r="G569">
        <v>240</v>
      </c>
      <c r="H569">
        <f>Sales[[#This Row],[Turnover]]-Sales[[#This Row],[Cost]]</f>
        <v>41</v>
      </c>
      <c r="I569" s="3">
        <f>Sales[[#This Row],[Turnover]]*1000/Sales[[#This Row],[Quantity]]</f>
        <v>704.26065162907264</v>
      </c>
      <c r="J569" s="5">
        <f>Sales[[#This Row],[Quantity]]/SUM(Sales[Quantity])</f>
        <v>7.2428120989451639E-4</v>
      </c>
    </row>
    <row r="570" spans="1:10" x14ac:dyDescent="0.25">
      <c r="A570" t="s">
        <v>28</v>
      </c>
      <c r="B570" t="s">
        <v>22</v>
      </c>
      <c r="C570" t="s">
        <v>1</v>
      </c>
      <c r="D570">
        <v>2020</v>
      </c>
      <c r="E570">
        <v>408</v>
      </c>
      <c r="F570">
        <v>286</v>
      </c>
      <c r="G570">
        <v>246</v>
      </c>
      <c r="H570">
        <f>Sales[[#This Row],[Turnover]]-Sales[[#This Row],[Cost]]</f>
        <v>40</v>
      </c>
      <c r="I570" s="3">
        <f>Sales[[#This Row],[Turnover]]*1000/Sales[[#This Row],[Quantity]]</f>
        <v>700.98039215686276</v>
      </c>
      <c r="J570" s="5">
        <f>Sales[[#This Row],[Quantity]]/SUM(Sales[Quantity])</f>
        <v>7.4061838004251294E-4</v>
      </c>
    </row>
    <row r="571" spans="1:10" x14ac:dyDescent="0.25">
      <c r="A571" t="s">
        <v>28</v>
      </c>
      <c r="B571" t="s">
        <v>22</v>
      </c>
      <c r="C571" t="s">
        <v>17</v>
      </c>
      <c r="D571">
        <v>2020</v>
      </c>
      <c r="E571">
        <v>402</v>
      </c>
      <c r="F571">
        <v>281</v>
      </c>
      <c r="G571">
        <v>242</v>
      </c>
      <c r="H571">
        <f>Sales[[#This Row],[Turnover]]-Sales[[#This Row],[Cost]]</f>
        <v>39</v>
      </c>
      <c r="I571" s="3">
        <f>Sales[[#This Row],[Turnover]]*1000/Sales[[#This Row],[Quantity]]</f>
        <v>699.00497512437812</v>
      </c>
      <c r="J571" s="5">
        <f>Sales[[#This Row],[Quantity]]/SUM(Sales[Quantity])</f>
        <v>7.2972693327718187E-4</v>
      </c>
    </row>
    <row r="572" spans="1:10" x14ac:dyDescent="0.25">
      <c r="A572" t="s">
        <v>28</v>
      </c>
      <c r="B572" t="s">
        <v>22</v>
      </c>
      <c r="C572" t="s">
        <v>15</v>
      </c>
      <c r="D572">
        <v>2020</v>
      </c>
      <c r="E572">
        <v>383</v>
      </c>
      <c r="F572">
        <v>268</v>
      </c>
      <c r="G572">
        <v>230</v>
      </c>
      <c r="H572">
        <f>Sales[[#This Row],[Turnover]]-Sales[[#This Row],[Cost]]</f>
        <v>38</v>
      </c>
      <c r="I572" s="3">
        <f>Sales[[#This Row],[Turnover]]*1000/Sales[[#This Row],[Quantity]]</f>
        <v>699.73890339425589</v>
      </c>
      <c r="J572" s="5">
        <f>Sales[[#This Row],[Quantity]]/SUM(Sales[Quantity])</f>
        <v>6.9523735185363349E-4</v>
      </c>
    </row>
    <row r="573" spans="1:10" x14ac:dyDescent="0.25">
      <c r="A573" t="s">
        <v>28</v>
      </c>
      <c r="B573" t="s">
        <v>22</v>
      </c>
      <c r="C573" t="s">
        <v>14</v>
      </c>
      <c r="D573">
        <v>2020</v>
      </c>
      <c r="E573">
        <v>408</v>
      </c>
      <c r="F573">
        <v>288</v>
      </c>
      <c r="G573">
        <v>246</v>
      </c>
      <c r="H573">
        <f>Sales[[#This Row],[Turnover]]-Sales[[#This Row],[Cost]]</f>
        <v>42</v>
      </c>
      <c r="I573" s="3">
        <f>Sales[[#This Row],[Turnover]]*1000/Sales[[#This Row],[Quantity]]</f>
        <v>705.88235294117646</v>
      </c>
      <c r="J573" s="5">
        <f>Sales[[#This Row],[Quantity]]/SUM(Sales[Quantity])</f>
        <v>7.4061838004251294E-4</v>
      </c>
    </row>
    <row r="574" spans="1:10" x14ac:dyDescent="0.25">
      <c r="A574" t="s">
        <v>28</v>
      </c>
      <c r="B574" t="s">
        <v>22</v>
      </c>
      <c r="C574" t="s">
        <v>2</v>
      </c>
      <c r="D574">
        <v>2020</v>
      </c>
      <c r="E574">
        <v>361</v>
      </c>
      <c r="F574">
        <v>252</v>
      </c>
      <c r="G574">
        <v>218</v>
      </c>
      <c r="H574">
        <f>Sales[[#This Row],[Turnover]]-Sales[[#This Row],[Cost]]</f>
        <v>34</v>
      </c>
      <c r="I574" s="3">
        <f>Sales[[#This Row],[Turnover]]*1000/Sales[[#This Row],[Quantity]]</f>
        <v>698.06094182825484</v>
      </c>
      <c r="J574" s="5">
        <f>Sales[[#This Row],[Quantity]]/SUM(Sales[Quantity])</f>
        <v>6.5530204704741953E-4</v>
      </c>
    </row>
    <row r="575" spans="1:10" x14ac:dyDescent="0.25">
      <c r="A575" t="s">
        <v>28</v>
      </c>
      <c r="B575" t="s">
        <v>22</v>
      </c>
      <c r="C575" t="s">
        <v>3</v>
      </c>
      <c r="D575">
        <v>2020</v>
      </c>
      <c r="E575">
        <v>420</v>
      </c>
      <c r="F575">
        <v>293</v>
      </c>
      <c r="G575">
        <v>253</v>
      </c>
      <c r="H575">
        <f>Sales[[#This Row],[Turnover]]-Sales[[#This Row],[Cost]]</f>
        <v>40</v>
      </c>
      <c r="I575" s="3">
        <f>Sales[[#This Row],[Turnover]]*1000/Sales[[#This Row],[Quantity]]</f>
        <v>697.61904761904759</v>
      </c>
      <c r="J575" s="5">
        <f>Sales[[#This Row],[Quantity]]/SUM(Sales[Quantity])</f>
        <v>7.6240127357317508E-4</v>
      </c>
    </row>
    <row r="576" spans="1:10" x14ac:dyDescent="0.25">
      <c r="A576" t="s">
        <v>28</v>
      </c>
      <c r="B576" t="s">
        <v>22</v>
      </c>
      <c r="C576" t="s">
        <v>18</v>
      </c>
      <c r="D576">
        <v>2020</v>
      </c>
      <c r="E576">
        <v>441</v>
      </c>
      <c r="F576">
        <v>308</v>
      </c>
      <c r="G576">
        <v>265</v>
      </c>
      <c r="H576">
        <f>Sales[[#This Row],[Turnover]]-Sales[[#This Row],[Cost]]</f>
        <v>43</v>
      </c>
      <c r="I576" s="3">
        <f>Sales[[#This Row],[Turnover]]*1000/Sales[[#This Row],[Quantity]]</f>
        <v>698.41269841269843</v>
      </c>
      <c r="J576" s="5">
        <f>Sales[[#This Row],[Quantity]]/SUM(Sales[Quantity])</f>
        <v>8.0052133725183388E-4</v>
      </c>
    </row>
    <row r="577" spans="1:10" x14ac:dyDescent="0.25">
      <c r="A577" t="s">
        <v>28</v>
      </c>
      <c r="B577" t="s">
        <v>22</v>
      </c>
      <c r="C577" t="s">
        <v>4</v>
      </c>
      <c r="D577">
        <v>2020</v>
      </c>
      <c r="E577">
        <v>462</v>
      </c>
      <c r="F577">
        <v>326</v>
      </c>
      <c r="G577">
        <v>278</v>
      </c>
      <c r="H577">
        <f>Sales[[#This Row],[Turnover]]-Sales[[#This Row],[Cost]]</f>
        <v>48</v>
      </c>
      <c r="I577" s="3">
        <f>Sales[[#This Row],[Turnover]]*1000/Sales[[#This Row],[Quantity]]</f>
        <v>705.62770562770561</v>
      </c>
      <c r="J577" s="5">
        <f>Sales[[#This Row],[Quantity]]/SUM(Sales[Quantity])</f>
        <v>8.3864140093049258E-4</v>
      </c>
    </row>
    <row r="578" spans="1:10" x14ac:dyDescent="0.25">
      <c r="A578" t="s">
        <v>28</v>
      </c>
      <c r="B578" t="s">
        <v>22</v>
      </c>
      <c r="C578" t="s">
        <v>19</v>
      </c>
      <c r="D578">
        <v>2020</v>
      </c>
      <c r="E578">
        <v>450</v>
      </c>
      <c r="F578">
        <v>317</v>
      </c>
      <c r="G578">
        <v>271</v>
      </c>
      <c r="H578">
        <f>Sales[[#This Row],[Turnover]]-Sales[[#This Row],[Cost]]</f>
        <v>46</v>
      </c>
      <c r="I578" s="3">
        <f>Sales[[#This Row],[Turnover]]*1000/Sales[[#This Row],[Quantity]]</f>
        <v>704.44444444444446</v>
      </c>
      <c r="J578" s="5">
        <f>Sales[[#This Row],[Quantity]]/SUM(Sales[Quantity])</f>
        <v>8.1685850739983044E-4</v>
      </c>
    </row>
    <row r="579" spans="1:10" x14ac:dyDescent="0.25">
      <c r="A579" t="s">
        <v>29</v>
      </c>
      <c r="B579" t="s">
        <v>22</v>
      </c>
      <c r="C579" t="s">
        <v>12</v>
      </c>
      <c r="D579">
        <v>2020</v>
      </c>
      <c r="E579">
        <v>122</v>
      </c>
      <c r="F579">
        <v>1106</v>
      </c>
      <c r="G579">
        <v>394</v>
      </c>
      <c r="H579">
        <f>Sales[[#This Row],[Turnover]]-Sales[[#This Row],[Cost]]</f>
        <v>712</v>
      </c>
      <c r="I579" s="3">
        <f>Sales[[#This Row],[Turnover]]*1000/Sales[[#This Row],[Quantity]]</f>
        <v>9065.5737704918029</v>
      </c>
      <c r="J579" s="5">
        <f>Sales[[#This Row],[Quantity]]/SUM(Sales[Quantity])</f>
        <v>2.2145941756173182E-4</v>
      </c>
    </row>
    <row r="580" spans="1:10" x14ac:dyDescent="0.25">
      <c r="A580" t="s">
        <v>29</v>
      </c>
      <c r="B580" t="s">
        <v>22</v>
      </c>
      <c r="C580" t="s">
        <v>13</v>
      </c>
      <c r="D580">
        <v>2020</v>
      </c>
      <c r="E580">
        <v>163</v>
      </c>
      <c r="F580">
        <v>1473</v>
      </c>
      <c r="G580">
        <v>526</v>
      </c>
      <c r="H580">
        <f>Sales[[#This Row],[Turnover]]-Sales[[#This Row],[Cost]]</f>
        <v>947</v>
      </c>
      <c r="I580" s="3">
        <f>Sales[[#This Row],[Turnover]]*1000/Sales[[#This Row],[Quantity]]</f>
        <v>9036.8098159509209</v>
      </c>
      <c r="J580" s="5">
        <f>Sales[[#This Row],[Quantity]]/SUM(Sales[Quantity])</f>
        <v>2.9588430379149413E-4</v>
      </c>
    </row>
    <row r="581" spans="1:10" x14ac:dyDescent="0.25">
      <c r="A581" t="s">
        <v>29</v>
      </c>
      <c r="B581" t="s">
        <v>22</v>
      </c>
      <c r="C581" t="s">
        <v>16</v>
      </c>
      <c r="D581">
        <v>2020</v>
      </c>
      <c r="E581">
        <v>191</v>
      </c>
      <c r="F581">
        <v>1709</v>
      </c>
      <c r="G581">
        <v>618</v>
      </c>
      <c r="H581">
        <f>Sales[[#This Row],[Turnover]]-Sales[[#This Row],[Cost]]</f>
        <v>1091</v>
      </c>
      <c r="I581" s="3">
        <f>Sales[[#This Row],[Turnover]]*1000/Sales[[#This Row],[Quantity]]</f>
        <v>8947.6439790575914</v>
      </c>
      <c r="J581" s="5">
        <f>Sales[[#This Row],[Quantity]]/SUM(Sales[Quantity])</f>
        <v>3.4671105536303917E-4</v>
      </c>
    </row>
    <row r="582" spans="1:10" x14ac:dyDescent="0.25">
      <c r="A582" t="s">
        <v>29</v>
      </c>
      <c r="B582" t="s">
        <v>22</v>
      </c>
      <c r="C582" t="s">
        <v>1</v>
      </c>
      <c r="D582">
        <v>2020</v>
      </c>
      <c r="E582">
        <v>181</v>
      </c>
      <c r="F582">
        <v>1459</v>
      </c>
      <c r="G582">
        <v>585</v>
      </c>
      <c r="H582">
        <f>Sales[[#This Row],[Turnover]]-Sales[[#This Row],[Cost]]</f>
        <v>874</v>
      </c>
      <c r="I582" s="3">
        <f>Sales[[#This Row],[Turnover]]*1000/Sales[[#This Row],[Quantity]]</f>
        <v>8060.7734806629833</v>
      </c>
      <c r="J582" s="5">
        <f>Sales[[#This Row],[Quantity]]/SUM(Sales[Quantity])</f>
        <v>3.2855864408748735E-4</v>
      </c>
    </row>
    <row r="583" spans="1:10" x14ac:dyDescent="0.25">
      <c r="A583" t="s">
        <v>29</v>
      </c>
      <c r="B583" t="s">
        <v>22</v>
      </c>
      <c r="C583" t="s">
        <v>17</v>
      </c>
      <c r="D583">
        <v>2020</v>
      </c>
      <c r="E583">
        <v>190</v>
      </c>
      <c r="F583">
        <v>1510</v>
      </c>
      <c r="G583">
        <v>614</v>
      </c>
      <c r="H583">
        <f>Sales[[#This Row],[Turnover]]-Sales[[#This Row],[Cost]]</f>
        <v>896</v>
      </c>
      <c r="I583" s="3">
        <f>Sales[[#This Row],[Turnover]]*1000/Sales[[#This Row],[Quantity]]</f>
        <v>7947.3684210526317</v>
      </c>
      <c r="J583" s="5">
        <f>Sales[[#This Row],[Quantity]]/SUM(Sales[Quantity])</f>
        <v>3.4489581423548395E-4</v>
      </c>
    </row>
    <row r="584" spans="1:10" x14ac:dyDescent="0.25">
      <c r="A584" t="s">
        <v>29</v>
      </c>
      <c r="B584" t="s">
        <v>22</v>
      </c>
      <c r="C584" t="s">
        <v>15</v>
      </c>
      <c r="D584">
        <v>2020</v>
      </c>
      <c r="E584">
        <v>237</v>
      </c>
      <c r="F584">
        <v>1901</v>
      </c>
      <c r="G584">
        <v>765</v>
      </c>
      <c r="H584">
        <f>Sales[[#This Row],[Turnover]]-Sales[[#This Row],[Cost]]</f>
        <v>1136</v>
      </c>
      <c r="I584" s="3">
        <f>Sales[[#This Row],[Turnover]]*1000/Sales[[#This Row],[Quantity]]</f>
        <v>8021.0970464135025</v>
      </c>
      <c r="J584" s="5">
        <f>Sales[[#This Row],[Quantity]]/SUM(Sales[Quantity])</f>
        <v>4.3021214723057736E-4</v>
      </c>
    </row>
    <row r="585" spans="1:10" x14ac:dyDescent="0.25">
      <c r="A585" t="s">
        <v>29</v>
      </c>
      <c r="B585" t="s">
        <v>22</v>
      </c>
      <c r="C585" t="s">
        <v>14</v>
      </c>
      <c r="D585">
        <v>2020</v>
      </c>
      <c r="E585">
        <v>203</v>
      </c>
      <c r="F585">
        <v>1616</v>
      </c>
      <c r="G585">
        <v>656</v>
      </c>
      <c r="H585">
        <f>Sales[[#This Row],[Turnover]]-Sales[[#This Row],[Cost]]</f>
        <v>960</v>
      </c>
      <c r="I585" s="3">
        <f>Sales[[#This Row],[Turnover]]*1000/Sales[[#This Row],[Quantity]]</f>
        <v>7960.5911330049257</v>
      </c>
      <c r="J585" s="5">
        <f>Sales[[#This Row],[Quantity]]/SUM(Sales[Quantity])</f>
        <v>3.6849394889370131E-4</v>
      </c>
    </row>
    <row r="586" spans="1:10" x14ac:dyDescent="0.25">
      <c r="A586" t="s">
        <v>29</v>
      </c>
      <c r="B586" t="s">
        <v>22</v>
      </c>
      <c r="C586" t="s">
        <v>2</v>
      </c>
      <c r="D586">
        <v>2020</v>
      </c>
      <c r="E586">
        <v>207</v>
      </c>
      <c r="F586">
        <v>1668</v>
      </c>
      <c r="G586">
        <v>669</v>
      </c>
      <c r="H586">
        <f>Sales[[#This Row],[Turnover]]-Sales[[#This Row],[Cost]]</f>
        <v>999</v>
      </c>
      <c r="I586" s="3">
        <f>Sales[[#This Row],[Turnover]]*1000/Sales[[#This Row],[Quantity]]</f>
        <v>8057.971014492754</v>
      </c>
      <c r="J586" s="5">
        <f>Sales[[#This Row],[Quantity]]/SUM(Sales[Quantity])</f>
        <v>3.75754913403922E-4</v>
      </c>
    </row>
    <row r="587" spans="1:10" x14ac:dyDescent="0.25">
      <c r="A587" t="s">
        <v>29</v>
      </c>
      <c r="B587" t="s">
        <v>22</v>
      </c>
      <c r="C587" t="s">
        <v>3</v>
      </c>
      <c r="D587">
        <v>2020</v>
      </c>
      <c r="E587">
        <v>212</v>
      </c>
      <c r="F587">
        <v>1701</v>
      </c>
      <c r="G587">
        <v>684</v>
      </c>
      <c r="H587">
        <f>Sales[[#This Row],[Turnover]]-Sales[[#This Row],[Cost]]</f>
        <v>1017</v>
      </c>
      <c r="I587" s="3">
        <f>Sales[[#This Row],[Turnover]]*1000/Sales[[#This Row],[Quantity]]</f>
        <v>8023.5849056603774</v>
      </c>
      <c r="J587" s="5">
        <f>Sales[[#This Row],[Quantity]]/SUM(Sales[Quantity])</f>
        <v>3.8483111904169792E-4</v>
      </c>
    </row>
    <row r="588" spans="1:10" x14ac:dyDescent="0.25">
      <c r="A588" t="s">
        <v>29</v>
      </c>
      <c r="B588" t="s">
        <v>22</v>
      </c>
      <c r="C588" t="s">
        <v>18</v>
      </c>
      <c r="D588">
        <v>2020</v>
      </c>
      <c r="E588">
        <v>244</v>
      </c>
      <c r="F588">
        <v>1942</v>
      </c>
      <c r="G588">
        <v>788</v>
      </c>
      <c r="H588">
        <f>Sales[[#This Row],[Turnover]]-Sales[[#This Row],[Cost]]</f>
        <v>1154</v>
      </c>
      <c r="I588" s="3">
        <f>Sales[[#This Row],[Turnover]]*1000/Sales[[#This Row],[Quantity]]</f>
        <v>7959.0163934426228</v>
      </c>
      <c r="J588" s="5">
        <f>Sales[[#This Row],[Quantity]]/SUM(Sales[Quantity])</f>
        <v>4.4291883512346365E-4</v>
      </c>
    </row>
    <row r="589" spans="1:10" x14ac:dyDescent="0.25">
      <c r="A589" t="s">
        <v>29</v>
      </c>
      <c r="B589" t="s">
        <v>22</v>
      </c>
      <c r="C589" t="s">
        <v>4</v>
      </c>
      <c r="D589">
        <v>2020</v>
      </c>
      <c r="E589">
        <v>184</v>
      </c>
      <c r="F589">
        <v>1471</v>
      </c>
      <c r="G589">
        <v>595</v>
      </c>
      <c r="H589">
        <f>Sales[[#This Row],[Turnover]]-Sales[[#This Row],[Cost]]</f>
        <v>876</v>
      </c>
      <c r="I589" s="3">
        <f>Sales[[#This Row],[Turnover]]*1000/Sales[[#This Row],[Quantity]]</f>
        <v>7994.565217391304</v>
      </c>
      <c r="J589" s="5">
        <f>Sales[[#This Row],[Quantity]]/SUM(Sales[Quantity])</f>
        <v>3.3400436747015288E-4</v>
      </c>
    </row>
    <row r="590" spans="1:10" x14ac:dyDescent="0.25">
      <c r="A590" t="s">
        <v>29</v>
      </c>
      <c r="B590" t="s">
        <v>22</v>
      </c>
      <c r="C590" t="s">
        <v>19</v>
      </c>
      <c r="D590">
        <v>2020</v>
      </c>
      <c r="E590">
        <v>239</v>
      </c>
      <c r="F590">
        <v>1924</v>
      </c>
      <c r="G590">
        <v>773</v>
      </c>
      <c r="H590">
        <f>Sales[[#This Row],[Turnover]]-Sales[[#This Row],[Cost]]</f>
        <v>1151</v>
      </c>
      <c r="I590" s="3">
        <f>Sales[[#This Row],[Turnover]]*1000/Sales[[#This Row],[Quantity]]</f>
        <v>8050.2092050209203</v>
      </c>
      <c r="J590" s="5">
        <f>Sales[[#This Row],[Quantity]]/SUM(Sales[Quantity])</f>
        <v>4.3384262948568773E-4</v>
      </c>
    </row>
    <row r="591" spans="1:10" x14ac:dyDescent="0.25">
      <c r="A591" t="s">
        <v>30</v>
      </c>
      <c r="B591" t="s">
        <v>22</v>
      </c>
      <c r="C591" t="s">
        <v>13</v>
      </c>
      <c r="D591">
        <v>2020</v>
      </c>
      <c r="E591">
        <v>219</v>
      </c>
      <c r="F591">
        <v>660</v>
      </c>
      <c r="G591">
        <v>338</v>
      </c>
      <c r="H591">
        <f>Sales[[#This Row],[Turnover]]-Sales[[#This Row],[Cost]]</f>
        <v>322</v>
      </c>
      <c r="I591" s="3">
        <f>Sales[[#This Row],[Turnover]]*1000/Sales[[#This Row],[Quantity]]</f>
        <v>3013.6986301369861</v>
      </c>
      <c r="J591" s="5">
        <f>Sales[[#This Row],[Quantity]]/SUM(Sales[Quantity])</f>
        <v>3.9753780693458415E-4</v>
      </c>
    </row>
    <row r="592" spans="1:10" x14ac:dyDescent="0.25">
      <c r="A592" t="s">
        <v>30</v>
      </c>
      <c r="B592" t="s">
        <v>22</v>
      </c>
      <c r="C592" t="s">
        <v>16</v>
      </c>
      <c r="D592">
        <v>2020</v>
      </c>
      <c r="E592">
        <v>240</v>
      </c>
      <c r="F592">
        <v>720</v>
      </c>
      <c r="G592">
        <v>369</v>
      </c>
      <c r="H592">
        <f>Sales[[#This Row],[Turnover]]-Sales[[#This Row],[Cost]]</f>
        <v>351</v>
      </c>
      <c r="I592" s="3">
        <f>Sales[[#This Row],[Turnover]]*1000/Sales[[#This Row],[Quantity]]</f>
        <v>3000</v>
      </c>
      <c r="J592" s="5">
        <f>Sales[[#This Row],[Quantity]]/SUM(Sales[Quantity])</f>
        <v>4.356578706132429E-4</v>
      </c>
    </row>
    <row r="593" spans="1:10" x14ac:dyDescent="0.25">
      <c r="A593" t="s">
        <v>30</v>
      </c>
      <c r="B593" t="s">
        <v>22</v>
      </c>
      <c r="C593" t="s">
        <v>1</v>
      </c>
      <c r="D593">
        <v>2020</v>
      </c>
      <c r="E593">
        <v>267</v>
      </c>
      <c r="F593">
        <v>801</v>
      </c>
      <c r="G593">
        <v>412</v>
      </c>
      <c r="H593">
        <f>Sales[[#This Row],[Turnover]]-Sales[[#This Row],[Cost]]</f>
        <v>389</v>
      </c>
      <c r="I593" s="3">
        <f>Sales[[#This Row],[Turnover]]*1000/Sales[[#This Row],[Quantity]]</f>
        <v>3000</v>
      </c>
      <c r="J593" s="5">
        <f>Sales[[#This Row],[Quantity]]/SUM(Sales[Quantity])</f>
        <v>4.8466938105723271E-4</v>
      </c>
    </row>
    <row r="594" spans="1:10" x14ac:dyDescent="0.25">
      <c r="A594" t="s">
        <v>30</v>
      </c>
      <c r="B594" t="s">
        <v>22</v>
      </c>
      <c r="C594" t="s">
        <v>17</v>
      </c>
      <c r="D594">
        <v>2020</v>
      </c>
      <c r="E594">
        <v>222</v>
      </c>
      <c r="F594">
        <v>656</v>
      </c>
      <c r="G594">
        <v>342</v>
      </c>
      <c r="H594">
        <f>Sales[[#This Row],[Turnover]]-Sales[[#This Row],[Cost]]</f>
        <v>314</v>
      </c>
      <c r="I594" s="3">
        <f>Sales[[#This Row],[Turnover]]*1000/Sales[[#This Row],[Quantity]]</f>
        <v>2954.9549549549552</v>
      </c>
      <c r="J594" s="5">
        <f>Sales[[#This Row],[Quantity]]/SUM(Sales[Quantity])</f>
        <v>4.0298353031724968E-4</v>
      </c>
    </row>
    <row r="595" spans="1:10" x14ac:dyDescent="0.25">
      <c r="A595" t="s">
        <v>30</v>
      </c>
      <c r="B595" t="s">
        <v>22</v>
      </c>
      <c r="C595" t="s">
        <v>15</v>
      </c>
      <c r="D595">
        <v>2020</v>
      </c>
      <c r="E595">
        <v>211</v>
      </c>
      <c r="F595">
        <v>627</v>
      </c>
      <c r="G595">
        <v>325</v>
      </c>
      <c r="H595">
        <f>Sales[[#This Row],[Turnover]]-Sales[[#This Row],[Cost]]</f>
        <v>302</v>
      </c>
      <c r="I595" s="3">
        <f>Sales[[#This Row],[Turnover]]*1000/Sales[[#This Row],[Quantity]]</f>
        <v>2971.5639810426542</v>
      </c>
      <c r="J595" s="5">
        <f>Sales[[#This Row],[Quantity]]/SUM(Sales[Quantity])</f>
        <v>3.830158779141427E-4</v>
      </c>
    </row>
    <row r="596" spans="1:10" x14ac:dyDescent="0.25">
      <c r="A596" t="s">
        <v>30</v>
      </c>
      <c r="B596" t="s">
        <v>22</v>
      </c>
      <c r="C596" t="s">
        <v>14</v>
      </c>
      <c r="D596">
        <v>2020</v>
      </c>
      <c r="E596">
        <v>317</v>
      </c>
      <c r="F596">
        <v>867</v>
      </c>
      <c r="G596">
        <v>489</v>
      </c>
      <c r="H596">
        <f>Sales[[#This Row],[Turnover]]-Sales[[#This Row],[Cost]]</f>
        <v>378</v>
      </c>
      <c r="I596" s="3">
        <f>Sales[[#This Row],[Turnover]]*1000/Sales[[#This Row],[Quantity]]</f>
        <v>2735.0157728706627</v>
      </c>
      <c r="J596" s="5">
        <f>Sales[[#This Row],[Quantity]]/SUM(Sales[Quantity])</f>
        <v>5.7543143743499171E-4</v>
      </c>
    </row>
    <row r="597" spans="1:10" x14ac:dyDescent="0.25">
      <c r="A597" t="s">
        <v>30</v>
      </c>
      <c r="B597" t="s">
        <v>22</v>
      </c>
      <c r="C597" t="s">
        <v>2</v>
      </c>
      <c r="D597">
        <v>2020</v>
      </c>
      <c r="E597">
        <v>325</v>
      </c>
      <c r="F597">
        <v>899</v>
      </c>
      <c r="G597">
        <v>501</v>
      </c>
      <c r="H597">
        <f>Sales[[#This Row],[Turnover]]-Sales[[#This Row],[Cost]]</f>
        <v>398</v>
      </c>
      <c r="I597" s="3">
        <f>Sales[[#This Row],[Turnover]]*1000/Sales[[#This Row],[Quantity]]</f>
        <v>2766.1538461538462</v>
      </c>
      <c r="J597" s="5">
        <f>Sales[[#This Row],[Quantity]]/SUM(Sales[Quantity])</f>
        <v>5.899533664554331E-4</v>
      </c>
    </row>
    <row r="598" spans="1:10" x14ac:dyDescent="0.25">
      <c r="A598" t="s">
        <v>30</v>
      </c>
      <c r="B598" t="s">
        <v>22</v>
      </c>
      <c r="C598" t="s">
        <v>3</v>
      </c>
      <c r="D598">
        <v>2020</v>
      </c>
      <c r="E598">
        <v>292</v>
      </c>
      <c r="F598">
        <v>797</v>
      </c>
      <c r="G598">
        <v>450</v>
      </c>
      <c r="H598">
        <f>Sales[[#This Row],[Turnover]]-Sales[[#This Row],[Cost]]</f>
        <v>347</v>
      </c>
      <c r="I598" s="3">
        <f>Sales[[#This Row],[Turnover]]*1000/Sales[[#This Row],[Quantity]]</f>
        <v>2729.4520547945203</v>
      </c>
      <c r="J598" s="5">
        <f>Sales[[#This Row],[Quantity]]/SUM(Sales[Quantity])</f>
        <v>5.3005040924611216E-4</v>
      </c>
    </row>
    <row r="599" spans="1:10" x14ac:dyDescent="0.25">
      <c r="A599" t="s">
        <v>30</v>
      </c>
      <c r="B599" t="s">
        <v>22</v>
      </c>
      <c r="C599" t="s">
        <v>18</v>
      </c>
      <c r="D599">
        <v>2020</v>
      </c>
      <c r="E599">
        <v>312</v>
      </c>
      <c r="F599">
        <v>859</v>
      </c>
      <c r="G599">
        <v>481</v>
      </c>
      <c r="H599">
        <f>Sales[[#This Row],[Turnover]]-Sales[[#This Row],[Cost]]</f>
        <v>378</v>
      </c>
      <c r="I599" s="3">
        <f>Sales[[#This Row],[Turnover]]*1000/Sales[[#This Row],[Quantity]]</f>
        <v>2753.2051282051284</v>
      </c>
      <c r="J599" s="5">
        <f>Sales[[#This Row],[Quantity]]/SUM(Sales[Quantity])</f>
        <v>5.663552317972158E-4</v>
      </c>
    </row>
    <row r="600" spans="1:10" x14ac:dyDescent="0.25">
      <c r="A600" t="s">
        <v>30</v>
      </c>
      <c r="B600" t="s">
        <v>22</v>
      </c>
      <c r="C600" t="s">
        <v>4</v>
      </c>
      <c r="D600">
        <v>2020</v>
      </c>
      <c r="E600">
        <v>265</v>
      </c>
      <c r="F600">
        <v>729</v>
      </c>
      <c r="G600">
        <v>409</v>
      </c>
      <c r="H600">
        <f>Sales[[#This Row],[Turnover]]-Sales[[#This Row],[Cost]]</f>
        <v>320</v>
      </c>
      <c r="I600" s="3">
        <f>Sales[[#This Row],[Turnover]]*1000/Sales[[#This Row],[Quantity]]</f>
        <v>2750.9433962264152</v>
      </c>
      <c r="J600" s="5">
        <f>Sales[[#This Row],[Quantity]]/SUM(Sales[Quantity])</f>
        <v>4.8103889880212239E-4</v>
      </c>
    </row>
    <row r="601" spans="1:10" x14ac:dyDescent="0.25">
      <c r="A601" t="s">
        <v>30</v>
      </c>
      <c r="B601" t="s">
        <v>22</v>
      </c>
      <c r="C601" t="s">
        <v>19</v>
      </c>
      <c r="D601">
        <v>2020</v>
      </c>
      <c r="E601">
        <v>221</v>
      </c>
      <c r="F601">
        <v>603</v>
      </c>
      <c r="G601">
        <v>341</v>
      </c>
      <c r="H601">
        <f>Sales[[#This Row],[Turnover]]-Sales[[#This Row],[Cost]]</f>
        <v>262</v>
      </c>
      <c r="I601" s="3">
        <f>Sales[[#This Row],[Turnover]]*1000/Sales[[#This Row],[Quantity]]</f>
        <v>2728.5067873303169</v>
      </c>
      <c r="J601" s="5">
        <f>Sales[[#This Row],[Quantity]]/SUM(Sales[Quantity])</f>
        <v>4.0116828918969452E-4</v>
      </c>
    </row>
    <row r="602" spans="1:10" x14ac:dyDescent="0.25">
      <c r="A602" t="s">
        <v>26</v>
      </c>
      <c r="B602" t="s">
        <v>22</v>
      </c>
      <c r="C602" t="s">
        <v>17</v>
      </c>
      <c r="D602">
        <v>2020</v>
      </c>
      <c r="E602">
        <v>338</v>
      </c>
      <c r="F602">
        <v>956</v>
      </c>
      <c r="G602">
        <v>410</v>
      </c>
      <c r="H602">
        <f>Sales[[#This Row],[Turnover]]-Sales[[#This Row],[Cost]]</f>
        <v>546</v>
      </c>
      <c r="I602" s="3">
        <f>Sales[[#This Row],[Turnover]]*1000/Sales[[#This Row],[Quantity]]</f>
        <v>2828.4023668639052</v>
      </c>
      <c r="J602" s="5">
        <f>Sales[[#This Row],[Quantity]]/SUM(Sales[Quantity])</f>
        <v>6.1355150111365041E-4</v>
      </c>
    </row>
    <row r="603" spans="1:10" x14ac:dyDescent="0.25">
      <c r="A603" t="s">
        <v>26</v>
      </c>
      <c r="B603" t="s">
        <v>22</v>
      </c>
      <c r="C603" t="s">
        <v>15</v>
      </c>
      <c r="D603">
        <v>2020</v>
      </c>
      <c r="E603">
        <v>351</v>
      </c>
      <c r="F603">
        <v>986</v>
      </c>
      <c r="G603">
        <v>426</v>
      </c>
      <c r="H603">
        <f>Sales[[#This Row],[Turnover]]-Sales[[#This Row],[Cost]]</f>
        <v>560</v>
      </c>
      <c r="I603" s="3">
        <f>Sales[[#This Row],[Turnover]]*1000/Sales[[#This Row],[Quantity]]</f>
        <v>2809.1168091168092</v>
      </c>
      <c r="J603" s="5">
        <f>Sales[[#This Row],[Quantity]]/SUM(Sales[Quantity])</f>
        <v>6.3714963577186771E-4</v>
      </c>
    </row>
    <row r="604" spans="1:10" x14ac:dyDescent="0.25">
      <c r="A604" t="s">
        <v>26</v>
      </c>
      <c r="B604" t="s">
        <v>22</v>
      </c>
      <c r="C604" t="s">
        <v>14</v>
      </c>
      <c r="D604">
        <v>2020</v>
      </c>
      <c r="E604">
        <v>396</v>
      </c>
      <c r="F604">
        <v>1104</v>
      </c>
      <c r="G604">
        <v>480</v>
      </c>
      <c r="H604">
        <f>Sales[[#This Row],[Turnover]]-Sales[[#This Row],[Cost]]</f>
        <v>624</v>
      </c>
      <c r="I604" s="3">
        <f>Sales[[#This Row],[Turnover]]*1000/Sales[[#This Row],[Quantity]]</f>
        <v>2787.878787878788</v>
      </c>
      <c r="J604" s="5">
        <f>Sales[[#This Row],[Quantity]]/SUM(Sales[Quantity])</f>
        <v>7.188354865118508E-4</v>
      </c>
    </row>
    <row r="605" spans="1:10" x14ac:dyDescent="0.25">
      <c r="A605" t="s">
        <v>26</v>
      </c>
      <c r="B605" t="s">
        <v>22</v>
      </c>
      <c r="C605" t="s">
        <v>2</v>
      </c>
      <c r="D605">
        <v>2020</v>
      </c>
      <c r="E605">
        <v>398</v>
      </c>
      <c r="F605">
        <v>1115</v>
      </c>
      <c r="G605">
        <v>482</v>
      </c>
      <c r="H605">
        <f>Sales[[#This Row],[Turnover]]-Sales[[#This Row],[Cost]]</f>
        <v>633</v>
      </c>
      <c r="I605" s="3">
        <f>Sales[[#This Row],[Turnover]]*1000/Sales[[#This Row],[Quantity]]</f>
        <v>2801.5075376884424</v>
      </c>
      <c r="J605" s="5">
        <f>Sales[[#This Row],[Quantity]]/SUM(Sales[Quantity])</f>
        <v>7.2246596876696112E-4</v>
      </c>
    </row>
    <row r="606" spans="1:10" x14ac:dyDescent="0.25">
      <c r="A606" t="s">
        <v>26</v>
      </c>
      <c r="B606" t="s">
        <v>22</v>
      </c>
      <c r="C606" t="s">
        <v>3</v>
      </c>
      <c r="D606">
        <v>2020</v>
      </c>
      <c r="E606">
        <v>370</v>
      </c>
      <c r="F606">
        <v>1035</v>
      </c>
      <c r="G606">
        <v>449</v>
      </c>
      <c r="H606">
        <f>Sales[[#This Row],[Turnover]]-Sales[[#This Row],[Cost]]</f>
        <v>586</v>
      </c>
      <c r="I606" s="3">
        <f>Sales[[#This Row],[Turnover]]*1000/Sales[[#This Row],[Quantity]]</f>
        <v>2797.2972972972975</v>
      </c>
      <c r="J606" s="5">
        <f>Sales[[#This Row],[Quantity]]/SUM(Sales[Quantity])</f>
        <v>6.7163921719541619E-4</v>
      </c>
    </row>
    <row r="607" spans="1:10" x14ac:dyDescent="0.25">
      <c r="A607" t="s">
        <v>26</v>
      </c>
      <c r="B607" t="s">
        <v>22</v>
      </c>
      <c r="C607" t="s">
        <v>18</v>
      </c>
      <c r="D607">
        <v>2020</v>
      </c>
      <c r="E607">
        <v>406</v>
      </c>
      <c r="F607">
        <v>1132</v>
      </c>
      <c r="G607">
        <v>493</v>
      </c>
      <c r="H607">
        <f>Sales[[#This Row],[Turnover]]-Sales[[#This Row],[Cost]]</f>
        <v>639</v>
      </c>
      <c r="I607" s="3">
        <f>Sales[[#This Row],[Turnover]]*1000/Sales[[#This Row],[Quantity]]</f>
        <v>2788.1773399014778</v>
      </c>
      <c r="J607" s="5">
        <f>Sales[[#This Row],[Quantity]]/SUM(Sales[Quantity])</f>
        <v>7.3698789778740262E-4</v>
      </c>
    </row>
    <row r="608" spans="1:10" x14ac:dyDescent="0.25">
      <c r="A608" t="s">
        <v>26</v>
      </c>
      <c r="B608" t="s">
        <v>22</v>
      </c>
      <c r="C608" t="s">
        <v>4</v>
      </c>
      <c r="D608">
        <v>2020</v>
      </c>
      <c r="E608">
        <v>394</v>
      </c>
      <c r="F608">
        <v>1097</v>
      </c>
      <c r="G608">
        <v>477</v>
      </c>
      <c r="H608">
        <f>Sales[[#This Row],[Turnover]]-Sales[[#This Row],[Cost]]</f>
        <v>620</v>
      </c>
      <c r="I608" s="3">
        <f>Sales[[#This Row],[Turnover]]*1000/Sales[[#This Row],[Quantity]]</f>
        <v>2784.263959390863</v>
      </c>
      <c r="J608" s="5">
        <f>Sales[[#This Row],[Quantity]]/SUM(Sales[Quantity])</f>
        <v>7.1520500425674048E-4</v>
      </c>
    </row>
    <row r="609" spans="1:10" x14ac:dyDescent="0.25">
      <c r="A609" t="s">
        <v>26</v>
      </c>
      <c r="B609" t="s">
        <v>22</v>
      </c>
      <c r="C609" t="s">
        <v>19</v>
      </c>
      <c r="D609">
        <v>2020</v>
      </c>
      <c r="E609">
        <v>360</v>
      </c>
      <c r="F609">
        <v>1007</v>
      </c>
      <c r="G609">
        <v>437</v>
      </c>
      <c r="H609">
        <f>Sales[[#This Row],[Turnover]]-Sales[[#This Row],[Cost]]</f>
        <v>570</v>
      </c>
      <c r="I609" s="3">
        <f>Sales[[#This Row],[Turnover]]*1000/Sales[[#This Row],[Quantity]]</f>
        <v>2797.2222222222222</v>
      </c>
      <c r="J609" s="5">
        <f>Sales[[#This Row],[Quantity]]/SUM(Sales[Quantity])</f>
        <v>6.5348680591986437E-4</v>
      </c>
    </row>
    <row r="610" spans="1:10" x14ac:dyDescent="0.25">
      <c r="A610" t="s">
        <v>27</v>
      </c>
      <c r="B610" t="s">
        <v>23</v>
      </c>
      <c r="C610" t="s">
        <v>12</v>
      </c>
      <c r="D610">
        <v>2018</v>
      </c>
      <c r="E610">
        <v>302</v>
      </c>
      <c r="F610">
        <v>450</v>
      </c>
      <c r="G610">
        <v>175</v>
      </c>
      <c r="H610">
        <f>Sales[[#This Row],[Turnover]]-Sales[[#This Row],[Cost]]</f>
        <v>275</v>
      </c>
      <c r="I610" s="3">
        <f>Sales[[#This Row],[Turnover]]*1000/Sales[[#This Row],[Quantity]]</f>
        <v>1490.0662251655629</v>
      </c>
      <c r="J610" s="5">
        <f>Sales[[#This Row],[Quantity]]/SUM(Sales[Quantity])</f>
        <v>5.4820282052166398E-4</v>
      </c>
    </row>
    <row r="611" spans="1:10" x14ac:dyDescent="0.25">
      <c r="A611" t="s">
        <v>27</v>
      </c>
      <c r="B611" t="s">
        <v>23</v>
      </c>
      <c r="C611" t="s">
        <v>13</v>
      </c>
      <c r="D611">
        <v>2018</v>
      </c>
      <c r="E611">
        <v>288</v>
      </c>
      <c r="F611">
        <v>434</v>
      </c>
      <c r="G611">
        <v>168</v>
      </c>
      <c r="H611">
        <f>Sales[[#This Row],[Turnover]]-Sales[[#This Row],[Cost]]</f>
        <v>266</v>
      </c>
      <c r="I611" s="3">
        <f>Sales[[#This Row],[Turnover]]*1000/Sales[[#This Row],[Quantity]]</f>
        <v>1506.9444444444443</v>
      </c>
      <c r="J611" s="5">
        <f>Sales[[#This Row],[Quantity]]/SUM(Sales[Quantity])</f>
        <v>5.2278944473589152E-4</v>
      </c>
    </row>
    <row r="612" spans="1:10" x14ac:dyDescent="0.25">
      <c r="A612" t="s">
        <v>27</v>
      </c>
      <c r="B612" t="s">
        <v>23</v>
      </c>
      <c r="C612" t="s">
        <v>16</v>
      </c>
      <c r="D612">
        <v>2018</v>
      </c>
      <c r="E612">
        <v>474</v>
      </c>
      <c r="F612">
        <v>714</v>
      </c>
      <c r="G612">
        <v>276</v>
      </c>
      <c r="H612">
        <f>Sales[[#This Row],[Turnover]]-Sales[[#This Row],[Cost]]</f>
        <v>438</v>
      </c>
      <c r="I612" s="3">
        <f>Sales[[#This Row],[Turnover]]*1000/Sales[[#This Row],[Quantity]]</f>
        <v>1506.3291139240507</v>
      </c>
      <c r="J612" s="5">
        <f>Sales[[#This Row],[Quantity]]/SUM(Sales[Quantity])</f>
        <v>8.6042429446115472E-4</v>
      </c>
    </row>
    <row r="613" spans="1:10" x14ac:dyDescent="0.25">
      <c r="A613" t="s">
        <v>27</v>
      </c>
      <c r="B613" t="s">
        <v>23</v>
      </c>
      <c r="C613" t="s">
        <v>1</v>
      </c>
      <c r="D613">
        <v>2018</v>
      </c>
      <c r="E613">
        <v>455</v>
      </c>
      <c r="F613">
        <v>689</v>
      </c>
      <c r="G613">
        <v>265</v>
      </c>
      <c r="H613">
        <f>Sales[[#This Row],[Turnover]]-Sales[[#This Row],[Cost]]</f>
        <v>424</v>
      </c>
      <c r="I613" s="3">
        <f>Sales[[#This Row],[Turnover]]*1000/Sales[[#This Row],[Quantity]]</f>
        <v>1514.2857142857142</v>
      </c>
      <c r="J613" s="5">
        <f>Sales[[#This Row],[Quantity]]/SUM(Sales[Quantity])</f>
        <v>8.2593471303760635E-4</v>
      </c>
    </row>
    <row r="614" spans="1:10" x14ac:dyDescent="0.25">
      <c r="A614" t="s">
        <v>27</v>
      </c>
      <c r="B614" t="s">
        <v>23</v>
      </c>
      <c r="C614" t="s">
        <v>17</v>
      </c>
      <c r="D614">
        <v>2018</v>
      </c>
      <c r="E614">
        <v>424</v>
      </c>
      <c r="F614">
        <v>634</v>
      </c>
      <c r="G614">
        <v>246</v>
      </c>
      <c r="H614">
        <f>Sales[[#This Row],[Turnover]]-Sales[[#This Row],[Cost]]</f>
        <v>388</v>
      </c>
      <c r="I614" s="3">
        <f>Sales[[#This Row],[Turnover]]*1000/Sales[[#This Row],[Quantity]]</f>
        <v>1495.2830188679245</v>
      </c>
      <c r="J614" s="5">
        <f>Sales[[#This Row],[Quantity]]/SUM(Sales[Quantity])</f>
        <v>7.6966223808339583E-4</v>
      </c>
    </row>
    <row r="615" spans="1:10" x14ac:dyDescent="0.25">
      <c r="A615" t="s">
        <v>27</v>
      </c>
      <c r="B615" t="s">
        <v>23</v>
      </c>
      <c r="C615" t="s">
        <v>15</v>
      </c>
      <c r="D615">
        <v>2018</v>
      </c>
      <c r="E615">
        <v>366</v>
      </c>
      <c r="F615">
        <v>546</v>
      </c>
      <c r="G615">
        <v>213</v>
      </c>
      <c r="H615">
        <f>Sales[[#This Row],[Turnover]]-Sales[[#This Row],[Cost]]</f>
        <v>333</v>
      </c>
      <c r="I615" s="3">
        <f>Sales[[#This Row],[Turnover]]*1000/Sales[[#This Row],[Quantity]]</f>
        <v>1491.8032786885246</v>
      </c>
      <c r="J615" s="5">
        <f>Sales[[#This Row],[Quantity]]/SUM(Sales[Quantity])</f>
        <v>6.6437825268519544E-4</v>
      </c>
    </row>
    <row r="616" spans="1:10" x14ac:dyDescent="0.25">
      <c r="A616" t="s">
        <v>27</v>
      </c>
      <c r="B616" t="s">
        <v>23</v>
      </c>
      <c r="C616" t="s">
        <v>14</v>
      </c>
      <c r="D616">
        <v>2018</v>
      </c>
      <c r="E616">
        <v>527</v>
      </c>
      <c r="F616">
        <v>477</v>
      </c>
      <c r="G616">
        <v>307</v>
      </c>
      <c r="H616">
        <f>Sales[[#This Row],[Turnover]]-Sales[[#This Row],[Cost]]</f>
        <v>170</v>
      </c>
      <c r="I616" s="3">
        <f>Sales[[#This Row],[Turnover]]*1000/Sales[[#This Row],[Quantity]]</f>
        <v>905.12333965844402</v>
      </c>
      <c r="J616" s="5">
        <f>Sales[[#This Row],[Quantity]]/SUM(Sales[Quantity])</f>
        <v>9.566320742215792E-4</v>
      </c>
    </row>
    <row r="617" spans="1:10" x14ac:dyDescent="0.25">
      <c r="A617" t="s">
        <v>27</v>
      </c>
      <c r="B617" t="s">
        <v>23</v>
      </c>
      <c r="C617" t="s">
        <v>2</v>
      </c>
      <c r="D617">
        <v>2018</v>
      </c>
      <c r="E617">
        <v>469</v>
      </c>
      <c r="F617">
        <v>420</v>
      </c>
      <c r="G617">
        <v>273</v>
      </c>
      <c r="H617">
        <f>Sales[[#This Row],[Turnover]]-Sales[[#This Row],[Cost]]</f>
        <v>147</v>
      </c>
      <c r="I617" s="3">
        <f>Sales[[#This Row],[Turnover]]*1000/Sales[[#This Row],[Quantity]]</f>
        <v>895.52238805970148</v>
      </c>
      <c r="J617" s="5">
        <f>Sales[[#This Row],[Quantity]]/SUM(Sales[Quantity])</f>
        <v>8.5134808882337881E-4</v>
      </c>
    </row>
    <row r="618" spans="1:10" x14ac:dyDescent="0.25">
      <c r="A618" t="s">
        <v>27</v>
      </c>
      <c r="B618" t="s">
        <v>23</v>
      </c>
      <c r="C618" t="s">
        <v>3</v>
      </c>
      <c r="D618">
        <v>2018</v>
      </c>
      <c r="E618">
        <v>458</v>
      </c>
      <c r="F618">
        <v>410</v>
      </c>
      <c r="G618">
        <v>267</v>
      </c>
      <c r="H618">
        <f>Sales[[#This Row],[Turnover]]-Sales[[#This Row],[Cost]]</f>
        <v>143</v>
      </c>
      <c r="I618" s="3">
        <f>Sales[[#This Row],[Turnover]]*1000/Sales[[#This Row],[Quantity]]</f>
        <v>895.19650655021837</v>
      </c>
      <c r="J618" s="5">
        <f>Sales[[#This Row],[Quantity]]/SUM(Sales[Quantity])</f>
        <v>8.3138043642027194E-4</v>
      </c>
    </row>
    <row r="619" spans="1:10" x14ac:dyDescent="0.25">
      <c r="A619" t="s">
        <v>27</v>
      </c>
      <c r="B619" t="s">
        <v>23</v>
      </c>
      <c r="C619" t="s">
        <v>18</v>
      </c>
      <c r="D619">
        <v>2018</v>
      </c>
      <c r="E619">
        <v>435</v>
      </c>
      <c r="F619">
        <v>393</v>
      </c>
      <c r="G619">
        <v>253</v>
      </c>
      <c r="H619">
        <f>Sales[[#This Row],[Turnover]]-Sales[[#This Row],[Cost]]</f>
        <v>140</v>
      </c>
      <c r="I619" s="3">
        <f>Sales[[#This Row],[Turnover]]*1000/Sales[[#This Row],[Quantity]]</f>
        <v>903.44827586206895</v>
      </c>
      <c r="J619" s="5">
        <f>Sales[[#This Row],[Quantity]]/SUM(Sales[Quantity])</f>
        <v>7.8962989048650281E-4</v>
      </c>
    </row>
    <row r="620" spans="1:10" x14ac:dyDescent="0.25">
      <c r="A620" t="s">
        <v>27</v>
      </c>
      <c r="B620" t="s">
        <v>23</v>
      </c>
      <c r="C620" t="s">
        <v>4</v>
      </c>
      <c r="D620">
        <v>2018</v>
      </c>
      <c r="E620">
        <v>369</v>
      </c>
      <c r="F620">
        <v>332</v>
      </c>
      <c r="G620">
        <v>215</v>
      </c>
      <c r="H620">
        <f>Sales[[#This Row],[Turnover]]-Sales[[#This Row],[Cost]]</f>
        <v>117</v>
      </c>
      <c r="I620" s="3">
        <f>Sales[[#This Row],[Turnover]]*1000/Sales[[#This Row],[Quantity]]</f>
        <v>899.72899728997288</v>
      </c>
      <c r="J620" s="5">
        <f>Sales[[#This Row],[Quantity]]/SUM(Sales[Quantity])</f>
        <v>6.6982397606786092E-4</v>
      </c>
    </row>
    <row r="621" spans="1:10" x14ac:dyDescent="0.25">
      <c r="A621" t="s">
        <v>27</v>
      </c>
      <c r="B621" t="s">
        <v>23</v>
      </c>
      <c r="C621" t="s">
        <v>19</v>
      </c>
      <c r="D621">
        <v>2018</v>
      </c>
      <c r="E621">
        <v>603</v>
      </c>
      <c r="F621">
        <v>420</v>
      </c>
      <c r="G621">
        <v>351</v>
      </c>
      <c r="H621">
        <f>Sales[[#This Row],[Turnover]]-Sales[[#This Row],[Cost]]</f>
        <v>69</v>
      </c>
      <c r="I621" s="3">
        <f>Sales[[#This Row],[Turnover]]*1000/Sales[[#This Row],[Quantity]]</f>
        <v>696.51741293532336</v>
      </c>
      <c r="J621" s="5">
        <f>Sales[[#This Row],[Quantity]]/SUM(Sales[Quantity])</f>
        <v>1.0945903999157729E-3</v>
      </c>
    </row>
    <row r="622" spans="1:10" x14ac:dyDescent="0.25">
      <c r="A622" t="s">
        <v>28</v>
      </c>
      <c r="B622" t="s">
        <v>23</v>
      </c>
      <c r="C622" t="s">
        <v>12</v>
      </c>
      <c r="D622">
        <v>2018</v>
      </c>
      <c r="E622">
        <v>162</v>
      </c>
      <c r="F622">
        <v>286</v>
      </c>
      <c r="G622">
        <v>0</v>
      </c>
      <c r="H622">
        <f>Sales[[#This Row],[Turnover]]-Sales[[#This Row],[Cost]]</f>
        <v>286</v>
      </c>
      <c r="I622" s="3">
        <f>Sales[[#This Row],[Turnover]]*1000/Sales[[#This Row],[Quantity]]</f>
        <v>1765.4320987654321</v>
      </c>
      <c r="J622" s="5">
        <f>Sales[[#This Row],[Quantity]]/SUM(Sales[Quantity])</f>
        <v>2.9406906266393897E-4</v>
      </c>
    </row>
    <row r="623" spans="1:10" x14ac:dyDescent="0.25">
      <c r="A623" t="s">
        <v>28</v>
      </c>
      <c r="B623" t="s">
        <v>23</v>
      </c>
      <c r="C623" t="s">
        <v>13</v>
      </c>
      <c r="D623">
        <v>2018</v>
      </c>
      <c r="E623">
        <v>242</v>
      </c>
      <c r="F623">
        <v>424</v>
      </c>
      <c r="G623">
        <v>0</v>
      </c>
      <c r="H623">
        <f>Sales[[#This Row],[Turnover]]-Sales[[#This Row],[Cost]]</f>
        <v>424</v>
      </c>
      <c r="I623" s="3">
        <f>Sales[[#This Row],[Turnover]]*1000/Sales[[#This Row],[Quantity]]</f>
        <v>1752.0661157024792</v>
      </c>
      <c r="J623" s="5">
        <f>Sales[[#This Row],[Quantity]]/SUM(Sales[Quantity])</f>
        <v>4.3928835286835327E-4</v>
      </c>
    </row>
    <row r="624" spans="1:10" x14ac:dyDescent="0.25">
      <c r="A624" t="s">
        <v>28</v>
      </c>
      <c r="B624" t="s">
        <v>23</v>
      </c>
      <c r="C624" t="s">
        <v>16</v>
      </c>
      <c r="D624">
        <v>2018</v>
      </c>
      <c r="E624">
        <v>360</v>
      </c>
      <c r="F624">
        <v>628</v>
      </c>
      <c r="G624">
        <v>0</v>
      </c>
      <c r="H624">
        <f>Sales[[#This Row],[Turnover]]-Sales[[#This Row],[Cost]]</f>
        <v>628</v>
      </c>
      <c r="I624" s="3">
        <f>Sales[[#This Row],[Turnover]]*1000/Sales[[#This Row],[Quantity]]</f>
        <v>1744.4444444444443</v>
      </c>
      <c r="J624" s="5">
        <f>Sales[[#This Row],[Quantity]]/SUM(Sales[Quantity])</f>
        <v>6.5348680591986437E-4</v>
      </c>
    </row>
    <row r="625" spans="1:10" x14ac:dyDescent="0.25">
      <c r="A625" t="s">
        <v>28</v>
      </c>
      <c r="B625" t="s">
        <v>23</v>
      </c>
      <c r="C625" t="s">
        <v>1</v>
      </c>
      <c r="D625">
        <v>2018</v>
      </c>
      <c r="E625">
        <v>303</v>
      </c>
      <c r="F625">
        <v>534</v>
      </c>
      <c r="G625">
        <v>0</v>
      </c>
      <c r="H625">
        <f>Sales[[#This Row],[Turnover]]-Sales[[#This Row],[Cost]]</f>
        <v>534</v>
      </c>
      <c r="I625" s="3">
        <f>Sales[[#This Row],[Turnover]]*1000/Sales[[#This Row],[Quantity]]</f>
        <v>1762.3762376237623</v>
      </c>
      <c r="J625" s="5">
        <f>Sales[[#This Row],[Quantity]]/SUM(Sales[Quantity])</f>
        <v>5.5001806164921914E-4</v>
      </c>
    </row>
    <row r="626" spans="1:10" x14ac:dyDescent="0.25">
      <c r="A626" t="s">
        <v>28</v>
      </c>
      <c r="B626" t="s">
        <v>23</v>
      </c>
      <c r="C626" t="s">
        <v>17</v>
      </c>
      <c r="D626">
        <v>2018</v>
      </c>
      <c r="E626">
        <v>219</v>
      </c>
      <c r="F626">
        <v>383</v>
      </c>
      <c r="G626">
        <v>0</v>
      </c>
      <c r="H626">
        <f>Sales[[#This Row],[Turnover]]-Sales[[#This Row],[Cost]]</f>
        <v>383</v>
      </c>
      <c r="I626" s="3">
        <f>Sales[[#This Row],[Turnover]]*1000/Sales[[#This Row],[Quantity]]</f>
        <v>1748.8584474885845</v>
      </c>
      <c r="J626" s="5">
        <f>Sales[[#This Row],[Quantity]]/SUM(Sales[Quantity])</f>
        <v>3.9753780693458415E-4</v>
      </c>
    </row>
    <row r="627" spans="1:10" x14ac:dyDescent="0.25">
      <c r="A627" t="s">
        <v>28</v>
      </c>
      <c r="B627" t="s">
        <v>23</v>
      </c>
      <c r="C627" t="s">
        <v>15</v>
      </c>
      <c r="D627">
        <v>2018</v>
      </c>
      <c r="E627">
        <v>242</v>
      </c>
      <c r="F627">
        <v>421</v>
      </c>
      <c r="G627">
        <v>0</v>
      </c>
      <c r="H627">
        <f>Sales[[#This Row],[Turnover]]-Sales[[#This Row],[Cost]]</f>
        <v>421</v>
      </c>
      <c r="I627" s="3">
        <f>Sales[[#This Row],[Turnover]]*1000/Sales[[#This Row],[Quantity]]</f>
        <v>1739.6694214876034</v>
      </c>
      <c r="J627" s="5">
        <f>Sales[[#This Row],[Quantity]]/SUM(Sales[Quantity])</f>
        <v>4.3928835286835327E-4</v>
      </c>
    </row>
    <row r="628" spans="1:10" x14ac:dyDescent="0.25">
      <c r="A628" t="s">
        <v>28</v>
      </c>
      <c r="B628" t="s">
        <v>23</v>
      </c>
      <c r="C628" t="s">
        <v>14</v>
      </c>
      <c r="D628">
        <v>2018</v>
      </c>
      <c r="E628">
        <v>451</v>
      </c>
      <c r="F628">
        <v>540</v>
      </c>
      <c r="G628">
        <v>271</v>
      </c>
      <c r="H628">
        <f>Sales[[#This Row],[Turnover]]-Sales[[#This Row],[Cost]]</f>
        <v>269</v>
      </c>
      <c r="I628" s="3">
        <f>Sales[[#This Row],[Turnover]]*1000/Sales[[#This Row],[Quantity]]</f>
        <v>1197.3392461197338</v>
      </c>
      <c r="J628" s="5">
        <f>Sales[[#This Row],[Quantity]]/SUM(Sales[Quantity])</f>
        <v>8.186737485273856E-4</v>
      </c>
    </row>
    <row r="629" spans="1:10" x14ac:dyDescent="0.25">
      <c r="A629" t="s">
        <v>28</v>
      </c>
      <c r="B629" t="s">
        <v>23</v>
      </c>
      <c r="C629" t="s">
        <v>2</v>
      </c>
      <c r="D629">
        <v>2018</v>
      </c>
      <c r="E629">
        <v>437</v>
      </c>
      <c r="F629">
        <v>528</v>
      </c>
      <c r="G629">
        <v>263</v>
      </c>
      <c r="H629">
        <f>Sales[[#This Row],[Turnover]]-Sales[[#This Row],[Cost]]</f>
        <v>265</v>
      </c>
      <c r="I629" s="3">
        <f>Sales[[#This Row],[Turnover]]*1000/Sales[[#This Row],[Quantity]]</f>
        <v>1208.2379862700229</v>
      </c>
      <c r="J629" s="5">
        <f>Sales[[#This Row],[Quantity]]/SUM(Sales[Quantity])</f>
        <v>7.9326037274161313E-4</v>
      </c>
    </row>
    <row r="630" spans="1:10" x14ac:dyDescent="0.25">
      <c r="A630" t="s">
        <v>28</v>
      </c>
      <c r="B630" t="s">
        <v>23</v>
      </c>
      <c r="C630" t="s">
        <v>3</v>
      </c>
      <c r="D630">
        <v>2018</v>
      </c>
      <c r="E630">
        <v>405</v>
      </c>
      <c r="F630">
        <v>488</v>
      </c>
      <c r="G630">
        <v>244</v>
      </c>
      <c r="H630">
        <f>Sales[[#This Row],[Turnover]]-Sales[[#This Row],[Cost]]</f>
        <v>244</v>
      </c>
      <c r="I630" s="3">
        <f>Sales[[#This Row],[Turnover]]*1000/Sales[[#This Row],[Quantity]]</f>
        <v>1204.9382716049383</v>
      </c>
      <c r="J630" s="5">
        <f>Sales[[#This Row],[Quantity]]/SUM(Sales[Quantity])</f>
        <v>7.3517265665984746E-4</v>
      </c>
    </row>
    <row r="631" spans="1:10" x14ac:dyDescent="0.25">
      <c r="A631" t="s">
        <v>28</v>
      </c>
      <c r="B631" t="s">
        <v>23</v>
      </c>
      <c r="C631" t="s">
        <v>18</v>
      </c>
      <c r="D631">
        <v>2018</v>
      </c>
      <c r="E631">
        <v>378</v>
      </c>
      <c r="F631">
        <v>454</v>
      </c>
      <c r="G631">
        <v>227</v>
      </c>
      <c r="H631">
        <f>Sales[[#This Row],[Turnover]]-Sales[[#This Row],[Cost]]</f>
        <v>227</v>
      </c>
      <c r="I631" s="3">
        <f>Sales[[#This Row],[Turnover]]*1000/Sales[[#This Row],[Quantity]]</f>
        <v>1201.0582010582011</v>
      </c>
      <c r="J631" s="5">
        <f>Sales[[#This Row],[Quantity]]/SUM(Sales[Quantity])</f>
        <v>6.8616114621585758E-4</v>
      </c>
    </row>
    <row r="632" spans="1:10" x14ac:dyDescent="0.25">
      <c r="A632" t="s">
        <v>28</v>
      </c>
      <c r="B632" t="s">
        <v>23</v>
      </c>
      <c r="C632" t="s">
        <v>4</v>
      </c>
      <c r="D632">
        <v>2018</v>
      </c>
      <c r="E632">
        <v>363</v>
      </c>
      <c r="F632">
        <v>434</v>
      </c>
      <c r="G632">
        <v>219</v>
      </c>
      <c r="H632">
        <f>Sales[[#This Row],[Turnover]]-Sales[[#This Row],[Cost]]</f>
        <v>215</v>
      </c>
      <c r="I632" s="3">
        <f>Sales[[#This Row],[Turnover]]*1000/Sales[[#This Row],[Quantity]]</f>
        <v>1195.5922865013774</v>
      </c>
      <c r="J632" s="5">
        <f>Sales[[#This Row],[Quantity]]/SUM(Sales[Quantity])</f>
        <v>6.5893252930252985E-4</v>
      </c>
    </row>
    <row r="633" spans="1:10" x14ac:dyDescent="0.25">
      <c r="A633" t="s">
        <v>28</v>
      </c>
      <c r="B633" t="s">
        <v>23</v>
      </c>
      <c r="C633" t="s">
        <v>19</v>
      </c>
      <c r="D633">
        <v>2018</v>
      </c>
      <c r="E633">
        <v>440</v>
      </c>
      <c r="F633">
        <v>351</v>
      </c>
      <c r="G633">
        <v>265</v>
      </c>
      <c r="H633">
        <f>Sales[[#This Row],[Turnover]]-Sales[[#This Row],[Cost]]</f>
        <v>86</v>
      </c>
      <c r="I633" s="3">
        <f>Sales[[#This Row],[Turnover]]*1000/Sales[[#This Row],[Quantity]]</f>
        <v>797.72727272727275</v>
      </c>
      <c r="J633" s="5">
        <f>Sales[[#This Row],[Quantity]]/SUM(Sales[Quantity])</f>
        <v>7.9870609612427872E-4</v>
      </c>
    </row>
    <row r="634" spans="1:10" x14ac:dyDescent="0.25">
      <c r="A634" t="s">
        <v>30</v>
      </c>
      <c r="B634" t="s">
        <v>23</v>
      </c>
      <c r="C634" t="s">
        <v>12</v>
      </c>
      <c r="D634">
        <v>2018</v>
      </c>
      <c r="E634">
        <v>534</v>
      </c>
      <c r="F634">
        <v>1040</v>
      </c>
      <c r="G634">
        <v>647</v>
      </c>
      <c r="H634">
        <f>Sales[[#This Row],[Turnover]]-Sales[[#This Row],[Cost]]</f>
        <v>393</v>
      </c>
      <c r="I634" s="3">
        <f>Sales[[#This Row],[Turnover]]*1000/Sales[[#This Row],[Quantity]]</f>
        <v>1947.5655430711611</v>
      </c>
      <c r="J634" s="5">
        <f>Sales[[#This Row],[Quantity]]/SUM(Sales[Quantity])</f>
        <v>9.6933876211446543E-4</v>
      </c>
    </row>
    <row r="635" spans="1:10" x14ac:dyDescent="0.25">
      <c r="A635" t="s">
        <v>30</v>
      </c>
      <c r="B635" t="s">
        <v>23</v>
      </c>
      <c r="C635" t="s">
        <v>13</v>
      </c>
      <c r="D635">
        <v>2018</v>
      </c>
      <c r="E635">
        <v>469</v>
      </c>
      <c r="F635">
        <v>909</v>
      </c>
      <c r="G635">
        <v>568</v>
      </c>
      <c r="H635">
        <f>Sales[[#This Row],[Turnover]]-Sales[[#This Row],[Cost]]</f>
        <v>341</v>
      </c>
      <c r="I635" s="3">
        <f>Sales[[#This Row],[Turnover]]*1000/Sales[[#This Row],[Quantity]]</f>
        <v>1938.1663113006396</v>
      </c>
      <c r="J635" s="5">
        <f>Sales[[#This Row],[Quantity]]/SUM(Sales[Quantity])</f>
        <v>8.5134808882337881E-4</v>
      </c>
    </row>
    <row r="636" spans="1:10" x14ac:dyDescent="0.25">
      <c r="A636" t="s">
        <v>30</v>
      </c>
      <c r="B636" t="s">
        <v>23</v>
      </c>
      <c r="C636" t="s">
        <v>16</v>
      </c>
      <c r="D636">
        <v>2018</v>
      </c>
      <c r="E636">
        <v>455</v>
      </c>
      <c r="F636">
        <v>894</v>
      </c>
      <c r="G636">
        <v>552</v>
      </c>
      <c r="H636">
        <f>Sales[[#This Row],[Turnover]]-Sales[[#This Row],[Cost]]</f>
        <v>342</v>
      </c>
      <c r="I636" s="3">
        <f>Sales[[#This Row],[Turnover]]*1000/Sales[[#This Row],[Quantity]]</f>
        <v>1964.8351648351647</v>
      </c>
      <c r="J636" s="5">
        <f>Sales[[#This Row],[Quantity]]/SUM(Sales[Quantity])</f>
        <v>8.2593471303760635E-4</v>
      </c>
    </row>
    <row r="637" spans="1:10" x14ac:dyDescent="0.25">
      <c r="A637" t="s">
        <v>30</v>
      </c>
      <c r="B637" t="s">
        <v>23</v>
      </c>
      <c r="C637" t="s">
        <v>1</v>
      </c>
      <c r="D637">
        <v>2018</v>
      </c>
      <c r="E637">
        <v>512</v>
      </c>
      <c r="F637">
        <v>1004</v>
      </c>
      <c r="G637">
        <v>620</v>
      </c>
      <c r="H637">
        <f>Sales[[#This Row],[Turnover]]-Sales[[#This Row],[Cost]]</f>
        <v>384</v>
      </c>
      <c r="I637" s="3">
        <f>Sales[[#This Row],[Turnover]]*1000/Sales[[#This Row],[Quantity]]</f>
        <v>1960.9375</v>
      </c>
      <c r="J637" s="5">
        <f>Sales[[#This Row],[Quantity]]/SUM(Sales[Quantity])</f>
        <v>9.2940345730825157E-4</v>
      </c>
    </row>
    <row r="638" spans="1:10" x14ac:dyDescent="0.25">
      <c r="A638" t="s">
        <v>30</v>
      </c>
      <c r="B638" t="s">
        <v>23</v>
      </c>
      <c r="C638" t="s">
        <v>17</v>
      </c>
      <c r="D638">
        <v>2018</v>
      </c>
      <c r="E638">
        <v>446</v>
      </c>
      <c r="F638">
        <v>866</v>
      </c>
      <c r="G638">
        <v>541</v>
      </c>
      <c r="H638">
        <f>Sales[[#This Row],[Turnover]]-Sales[[#This Row],[Cost]]</f>
        <v>325</v>
      </c>
      <c r="I638" s="3">
        <f>Sales[[#This Row],[Turnover]]*1000/Sales[[#This Row],[Quantity]]</f>
        <v>1941.7040358744396</v>
      </c>
      <c r="J638" s="5">
        <f>Sales[[#This Row],[Quantity]]/SUM(Sales[Quantity])</f>
        <v>8.0959754288960979E-4</v>
      </c>
    </row>
    <row r="639" spans="1:10" x14ac:dyDescent="0.25">
      <c r="A639" t="s">
        <v>30</v>
      </c>
      <c r="B639" t="s">
        <v>23</v>
      </c>
      <c r="C639" t="s">
        <v>15</v>
      </c>
      <c r="D639">
        <v>2018</v>
      </c>
      <c r="E639">
        <v>439</v>
      </c>
      <c r="F639">
        <v>860</v>
      </c>
      <c r="G639">
        <v>531</v>
      </c>
      <c r="H639">
        <f>Sales[[#This Row],[Turnover]]-Sales[[#This Row],[Cost]]</f>
        <v>329</v>
      </c>
      <c r="I639" s="3">
        <f>Sales[[#This Row],[Turnover]]*1000/Sales[[#This Row],[Quantity]]</f>
        <v>1958.9977220956721</v>
      </c>
      <c r="J639" s="5">
        <f>Sales[[#This Row],[Quantity]]/SUM(Sales[Quantity])</f>
        <v>7.9689085499672345E-4</v>
      </c>
    </row>
    <row r="640" spans="1:10" x14ac:dyDescent="0.25">
      <c r="A640" t="s">
        <v>30</v>
      </c>
      <c r="B640" t="s">
        <v>23</v>
      </c>
      <c r="C640" t="s">
        <v>14</v>
      </c>
      <c r="D640">
        <v>2018</v>
      </c>
      <c r="E640">
        <v>430</v>
      </c>
      <c r="F640">
        <v>847</v>
      </c>
      <c r="G640">
        <v>522</v>
      </c>
      <c r="H640">
        <f>Sales[[#This Row],[Turnover]]-Sales[[#This Row],[Cost]]</f>
        <v>325</v>
      </c>
      <c r="I640" s="3">
        <f>Sales[[#This Row],[Turnover]]*1000/Sales[[#This Row],[Quantity]]</f>
        <v>1969.7674418604652</v>
      </c>
      <c r="J640" s="5">
        <f>Sales[[#This Row],[Quantity]]/SUM(Sales[Quantity])</f>
        <v>7.805536848487269E-4</v>
      </c>
    </row>
    <row r="641" spans="1:10" x14ac:dyDescent="0.25">
      <c r="A641" t="s">
        <v>30</v>
      </c>
      <c r="B641" t="s">
        <v>23</v>
      </c>
      <c r="C641" t="s">
        <v>2</v>
      </c>
      <c r="D641">
        <v>2018</v>
      </c>
      <c r="E641">
        <v>652</v>
      </c>
      <c r="F641">
        <v>982</v>
      </c>
      <c r="G641">
        <v>791</v>
      </c>
      <c r="H641">
        <f>Sales[[#This Row],[Turnover]]-Sales[[#This Row],[Cost]]</f>
        <v>191</v>
      </c>
      <c r="I641" s="3">
        <f>Sales[[#This Row],[Turnover]]*1000/Sales[[#This Row],[Quantity]]</f>
        <v>1506.1349693251534</v>
      </c>
      <c r="J641" s="5">
        <f>Sales[[#This Row],[Quantity]]/SUM(Sales[Quantity])</f>
        <v>1.1835372151659765E-3</v>
      </c>
    </row>
    <row r="642" spans="1:10" x14ac:dyDescent="0.25">
      <c r="A642" t="s">
        <v>30</v>
      </c>
      <c r="B642" t="s">
        <v>23</v>
      </c>
      <c r="C642" t="s">
        <v>3</v>
      </c>
      <c r="D642">
        <v>2018</v>
      </c>
      <c r="E642">
        <v>599</v>
      </c>
      <c r="F642">
        <v>896</v>
      </c>
      <c r="G642">
        <v>726</v>
      </c>
      <c r="H642">
        <f>Sales[[#This Row],[Turnover]]-Sales[[#This Row],[Cost]]</f>
        <v>170</v>
      </c>
      <c r="I642" s="3">
        <f>Sales[[#This Row],[Turnover]]*1000/Sales[[#This Row],[Quantity]]</f>
        <v>1495.8263772954924</v>
      </c>
      <c r="J642" s="5">
        <f>Sales[[#This Row],[Quantity]]/SUM(Sales[Quantity])</f>
        <v>1.0873294354055521E-3</v>
      </c>
    </row>
    <row r="643" spans="1:10" x14ac:dyDescent="0.25">
      <c r="A643" t="s">
        <v>30</v>
      </c>
      <c r="B643" t="s">
        <v>23</v>
      </c>
      <c r="C643" t="s">
        <v>18</v>
      </c>
      <c r="D643">
        <v>2018</v>
      </c>
      <c r="E643">
        <v>540</v>
      </c>
      <c r="F643">
        <v>811</v>
      </c>
      <c r="G643">
        <v>655</v>
      </c>
      <c r="H643">
        <f>Sales[[#This Row],[Turnover]]-Sales[[#This Row],[Cost]]</f>
        <v>156</v>
      </c>
      <c r="I643" s="3">
        <f>Sales[[#This Row],[Turnover]]*1000/Sales[[#This Row],[Quantity]]</f>
        <v>1501.851851851852</v>
      </c>
      <c r="J643" s="5">
        <f>Sales[[#This Row],[Quantity]]/SUM(Sales[Quantity])</f>
        <v>9.8023020887979661E-4</v>
      </c>
    </row>
    <row r="644" spans="1:10" x14ac:dyDescent="0.25">
      <c r="A644" t="s">
        <v>30</v>
      </c>
      <c r="B644" t="s">
        <v>23</v>
      </c>
      <c r="C644" t="s">
        <v>4</v>
      </c>
      <c r="D644">
        <v>2018</v>
      </c>
      <c r="E644">
        <v>466</v>
      </c>
      <c r="F644">
        <v>706</v>
      </c>
      <c r="G644">
        <v>565</v>
      </c>
      <c r="H644">
        <f>Sales[[#This Row],[Turnover]]-Sales[[#This Row],[Cost]]</f>
        <v>141</v>
      </c>
      <c r="I644" s="3">
        <f>Sales[[#This Row],[Turnover]]*1000/Sales[[#This Row],[Quantity]]</f>
        <v>1515.0214592274679</v>
      </c>
      <c r="J644" s="5">
        <f>Sales[[#This Row],[Quantity]]/SUM(Sales[Quantity])</f>
        <v>8.4590236544071333E-4</v>
      </c>
    </row>
    <row r="645" spans="1:10" x14ac:dyDescent="0.25">
      <c r="A645" t="s">
        <v>30</v>
      </c>
      <c r="B645" t="s">
        <v>23</v>
      </c>
      <c r="C645" t="s">
        <v>19</v>
      </c>
      <c r="D645">
        <v>2018</v>
      </c>
      <c r="E645">
        <v>417</v>
      </c>
      <c r="F645">
        <v>620</v>
      </c>
      <c r="G645">
        <v>505</v>
      </c>
      <c r="H645">
        <f>Sales[[#This Row],[Turnover]]-Sales[[#This Row],[Cost]]</f>
        <v>115</v>
      </c>
      <c r="I645" s="3">
        <f>Sales[[#This Row],[Turnover]]*1000/Sales[[#This Row],[Quantity]]</f>
        <v>1486.8105515587531</v>
      </c>
      <c r="J645" s="5">
        <f>Sales[[#This Row],[Quantity]]/SUM(Sales[Quantity])</f>
        <v>7.569555501905096E-4</v>
      </c>
    </row>
    <row r="646" spans="1:10" x14ac:dyDescent="0.25">
      <c r="A646" t="s">
        <v>26</v>
      </c>
      <c r="B646" t="s">
        <v>23</v>
      </c>
      <c r="C646" t="s">
        <v>2</v>
      </c>
      <c r="D646">
        <v>2018</v>
      </c>
      <c r="E646">
        <v>254</v>
      </c>
      <c r="F646">
        <v>896</v>
      </c>
      <c r="G646">
        <v>308</v>
      </c>
      <c r="H646">
        <f>Sales[[#This Row],[Turnover]]-Sales[[#This Row],[Cost]]</f>
        <v>588</v>
      </c>
      <c r="I646" s="3">
        <f>Sales[[#This Row],[Turnover]]*1000/Sales[[#This Row],[Quantity]]</f>
        <v>3527.5590551181103</v>
      </c>
      <c r="J646" s="5">
        <f>Sales[[#This Row],[Quantity]]/SUM(Sales[Quantity])</f>
        <v>4.6107124639901541E-4</v>
      </c>
    </row>
    <row r="647" spans="1:10" x14ac:dyDescent="0.25">
      <c r="A647" t="s">
        <v>26</v>
      </c>
      <c r="B647" t="s">
        <v>23</v>
      </c>
      <c r="C647" t="s">
        <v>3</v>
      </c>
      <c r="D647">
        <v>2018</v>
      </c>
      <c r="E647">
        <v>255</v>
      </c>
      <c r="F647">
        <v>901</v>
      </c>
      <c r="G647">
        <v>310</v>
      </c>
      <c r="H647">
        <f>Sales[[#This Row],[Turnover]]-Sales[[#This Row],[Cost]]</f>
        <v>591</v>
      </c>
      <c r="I647" s="3">
        <f>Sales[[#This Row],[Turnover]]*1000/Sales[[#This Row],[Quantity]]</f>
        <v>3533.3333333333335</v>
      </c>
      <c r="J647" s="5">
        <f>Sales[[#This Row],[Quantity]]/SUM(Sales[Quantity])</f>
        <v>4.6288648752657057E-4</v>
      </c>
    </row>
    <row r="648" spans="1:10" x14ac:dyDescent="0.25">
      <c r="A648" t="s">
        <v>26</v>
      </c>
      <c r="B648" t="s">
        <v>23</v>
      </c>
      <c r="C648" t="s">
        <v>18</v>
      </c>
      <c r="D648">
        <v>2018</v>
      </c>
      <c r="E648">
        <v>243</v>
      </c>
      <c r="F648">
        <v>856</v>
      </c>
      <c r="G648">
        <v>295</v>
      </c>
      <c r="H648">
        <f>Sales[[#This Row],[Turnover]]-Sales[[#This Row],[Cost]]</f>
        <v>561</v>
      </c>
      <c r="I648" s="3">
        <f>Sales[[#This Row],[Turnover]]*1000/Sales[[#This Row],[Quantity]]</f>
        <v>3522.6337448559671</v>
      </c>
      <c r="J648" s="5">
        <f>Sales[[#This Row],[Quantity]]/SUM(Sales[Quantity])</f>
        <v>4.4110359399590843E-4</v>
      </c>
    </row>
    <row r="649" spans="1:10" x14ac:dyDescent="0.25">
      <c r="A649" t="s">
        <v>26</v>
      </c>
      <c r="B649" t="s">
        <v>23</v>
      </c>
      <c r="C649" t="s">
        <v>4</v>
      </c>
      <c r="D649">
        <v>2018</v>
      </c>
      <c r="E649">
        <v>236</v>
      </c>
      <c r="F649">
        <v>824</v>
      </c>
      <c r="G649">
        <v>287</v>
      </c>
      <c r="H649">
        <f>Sales[[#This Row],[Turnover]]-Sales[[#This Row],[Cost]]</f>
        <v>537</v>
      </c>
      <c r="I649" s="3">
        <f>Sales[[#This Row],[Turnover]]*1000/Sales[[#This Row],[Quantity]]</f>
        <v>3491.5254237288136</v>
      </c>
      <c r="J649" s="5">
        <f>Sales[[#This Row],[Quantity]]/SUM(Sales[Quantity])</f>
        <v>4.283969061030222E-4</v>
      </c>
    </row>
    <row r="650" spans="1:10" x14ac:dyDescent="0.25">
      <c r="A650" t="s">
        <v>26</v>
      </c>
      <c r="B650" t="s">
        <v>23</v>
      </c>
      <c r="C650" t="s">
        <v>19</v>
      </c>
      <c r="D650">
        <v>2018</v>
      </c>
      <c r="E650">
        <v>266</v>
      </c>
      <c r="F650">
        <v>922</v>
      </c>
      <c r="G650">
        <v>322</v>
      </c>
      <c r="H650">
        <f>Sales[[#This Row],[Turnover]]-Sales[[#This Row],[Cost]]</f>
        <v>600</v>
      </c>
      <c r="I650" s="3">
        <f>Sales[[#This Row],[Turnover]]*1000/Sales[[#This Row],[Quantity]]</f>
        <v>3466.1654135338345</v>
      </c>
      <c r="J650" s="5">
        <f>Sales[[#This Row],[Quantity]]/SUM(Sales[Quantity])</f>
        <v>4.8285413992967755E-4</v>
      </c>
    </row>
    <row r="651" spans="1:10" x14ac:dyDescent="0.25">
      <c r="A651" t="s">
        <v>29</v>
      </c>
      <c r="B651" t="s">
        <v>23</v>
      </c>
      <c r="C651" t="s">
        <v>2</v>
      </c>
      <c r="D651">
        <v>2018</v>
      </c>
      <c r="E651">
        <v>157</v>
      </c>
      <c r="F651">
        <v>638</v>
      </c>
      <c r="G651">
        <v>224</v>
      </c>
      <c r="H651">
        <f>Sales[[#This Row],[Turnover]]-Sales[[#This Row],[Cost]]</f>
        <v>414</v>
      </c>
      <c r="I651" s="3">
        <f>Sales[[#This Row],[Turnover]]*1000/Sales[[#This Row],[Quantity]]</f>
        <v>4063.6942675159235</v>
      </c>
      <c r="J651" s="5">
        <f>Sales[[#This Row],[Quantity]]/SUM(Sales[Quantity])</f>
        <v>2.8499285702616306E-4</v>
      </c>
    </row>
    <row r="652" spans="1:10" x14ac:dyDescent="0.25">
      <c r="A652" t="s">
        <v>29</v>
      </c>
      <c r="B652" t="s">
        <v>23</v>
      </c>
      <c r="C652" t="s">
        <v>3</v>
      </c>
      <c r="D652">
        <v>2018</v>
      </c>
      <c r="E652">
        <v>167</v>
      </c>
      <c r="F652">
        <v>689</v>
      </c>
      <c r="G652">
        <v>239</v>
      </c>
      <c r="H652">
        <f>Sales[[#This Row],[Turnover]]-Sales[[#This Row],[Cost]]</f>
        <v>450</v>
      </c>
      <c r="I652" s="3">
        <f>Sales[[#This Row],[Turnover]]*1000/Sales[[#This Row],[Quantity]]</f>
        <v>4125.7485029940117</v>
      </c>
      <c r="J652" s="5">
        <f>Sales[[#This Row],[Quantity]]/SUM(Sales[Quantity])</f>
        <v>3.0314526830171488E-4</v>
      </c>
    </row>
    <row r="653" spans="1:10" x14ac:dyDescent="0.25">
      <c r="A653" t="s">
        <v>29</v>
      </c>
      <c r="B653" t="s">
        <v>23</v>
      </c>
      <c r="C653" t="s">
        <v>18</v>
      </c>
      <c r="D653">
        <v>2018</v>
      </c>
      <c r="E653">
        <v>166</v>
      </c>
      <c r="F653">
        <v>673</v>
      </c>
      <c r="G653">
        <v>237</v>
      </c>
      <c r="H653">
        <f>Sales[[#This Row],[Turnover]]-Sales[[#This Row],[Cost]]</f>
        <v>436</v>
      </c>
      <c r="I653" s="3">
        <f>Sales[[#This Row],[Turnover]]*1000/Sales[[#This Row],[Quantity]]</f>
        <v>4054.2168674698796</v>
      </c>
      <c r="J653" s="5">
        <f>Sales[[#This Row],[Quantity]]/SUM(Sales[Quantity])</f>
        <v>3.0133002717415967E-4</v>
      </c>
    </row>
    <row r="654" spans="1:10" x14ac:dyDescent="0.25">
      <c r="A654" t="s">
        <v>29</v>
      </c>
      <c r="B654" t="s">
        <v>23</v>
      </c>
      <c r="C654" t="s">
        <v>4</v>
      </c>
      <c r="D654">
        <v>2018</v>
      </c>
      <c r="E654">
        <v>156</v>
      </c>
      <c r="F654">
        <v>634</v>
      </c>
      <c r="G654">
        <v>223</v>
      </c>
      <c r="H654">
        <f>Sales[[#This Row],[Turnover]]-Sales[[#This Row],[Cost]]</f>
        <v>411</v>
      </c>
      <c r="I654" s="3">
        <f>Sales[[#This Row],[Turnover]]*1000/Sales[[#This Row],[Quantity]]</f>
        <v>4064.102564102564</v>
      </c>
      <c r="J654" s="5">
        <f>Sales[[#This Row],[Quantity]]/SUM(Sales[Quantity])</f>
        <v>2.831776158986079E-4</v>
      </c>
    </row>
    <row r="655" spans="1:10" x14ac:dyDescent="0.25">
      <c r="A655" t="s">
        <v>29</v>
      </c>
      <c r="B655" t="s">
        <v>23</v>
      </c>
      <c r="C655" t="s">
        <v>19</v>
      </c>
      <c r="D655">
        <v>2018</v>
      </c>
      <c r="E655">
        <v>192</v>
      </c>
      <c r="F655">
        <v>792</v>
      </c>
      <c r="G655">
        <v>275</v>
      </c>
      <c r="H655">
        <f>Sales[[#This Row],[Turnover]]-Sales[[#This Row],[Cost]]</f>
        <v>517</v>
      </c>
      <c r="I655" s="3">
        <f>Sales[[#This Row],[Turnover]]*1000/Sales[[#This Row],[Quantity]]</f>
        <v>4125</v>
      </c>
      <c r="J655" s="5">
        <f>Sales[[#This Row],[Quantity]]/SUM(Sales[Quantity])</f>
        <v>3.4852629649059433E-4</v>
      </c>
    </row>
    <row r="656" spans="1:10" x14ac:dyDescent="0.25">
      <c r="A656" t="s">
        <v>27</v>
      </c>
      <c r="B656" t="s">
        <v>23</v>
      </c>
      <c r="C656" t="s">
        <v>12</v>
      </c>
      <c r="D656">
        <v>2019</v>
      </c>
      <c r="E656">
        <v>678</v>
      </c>
      <c r="F656">
        <v>474</v>
      </c>
      <c r="G656">
        <v>395</v>
      </c>
      <c r="H656">
        <f>Sales[[#This Row],[Turnover]]-Sales[[#This Row],[Cost]]</f>
        <v>79</v>
      </c>
      <c r="I656" s="3">
        <f>Sales[[#This Row],[Turnover]]*1000/Sales[[#This Row],[Quantity]]</f>
        <v>699.11504424778764</v>
      </c>
      <c r="J656" s="5">
        <f>Sales[[#This Row],[Quantity]]/SUM(Sales[Quantity])</f>
        <v>1.2307334844824111E-3</v>
      </c>
    </row>
    <row r="657" spans="1:10" x14ac:dyDescent="0.25">
      <c r="A657" t="s">
        <v>27</v>
      </c>
      <c r="B657" t="s">
        <v>23</v>
      </c>
      <c r="C657" t="s">
        <v>13</v>
      </c>
      <c r="D657">
        <v>2019</v>
      </c>
      <c r="E657">
        <v>597</v>
      </c>
      <c r="F657">
        <v>418</v>
      </c>
      <c r="G657">
        <v>347</v>
      </c>
      <c r="H657">
        <f>Sales[[#This Row],[Turnover]]-Sales[[#This Row],[Cost]]</f>
        <v>71</v>
      </c>
      <c r="I657" s="3">
        <f>Sales[[#This Row],[Turnover]]*1000/Sales[[#This Row],[Quantity]]</f>
        <v>700.16750418760466</v>
      </c>
      <c r="J657" s="5">
        <f>Sales[[#This Row],[Quantity]]/SUM(Sales[Quantity])</f>
        <v>1.0836989531504417E-3</v>
      </c>
    </row>
    <row r="658" spans="1:10" x14ac:dyDescent="0.25">
      <c r="A658" t="s">
        <v>27</v>
      </c>
      <c r="B658" t="s">
        <v>23</v>
      </c>
      <c r="C658" t="s">
        <v>16</v>
      </c>
      <c r="D658">
        <v>2019</v>
      </c>
      <c r="E658">
        <v>570</v>
      </c>
      <c r="F658">
        <v>398</v>
      </c>
      <c r="G658">
        <v>331</v>
      </c>
      <c r="H658">
        <f>Sales[[#This Row],[Turnover]]-Sales[[#This Row],[Cost]]</f>
        <v>67</v>
      </c>
      <c r="I658" s="3">
        <f>Sales[[#This Row],[Turnover]]*1000/Sales[[#This Row],[Quantity]]</f>
        <v>698.24561403508767</v>
      </c>
      <c r="J658" s="5">
        <f>Sales[[#This Row],[Quantity]]/SUM(Sales[Quantity])</f>
        <v>1.0346874427064519E-3</v>
      </c>
    </row>
    <row r="659" spans="1:10" x14ac:dyDescent="0.25">
      <c r="A659" t="s">
        <v>27</v>
      </c>
      <c r="B659" t="s">
        <v>23</v>
      </c>
      <c r="C659" t="s">
        <v>1</v>
      </c>
      <c r="D659">
        <v>2019</v>
      </c>
      <c r="E659">
        <v>542</v>
      </c>
      <c r="F659">
        <v>376</v>
      </c>
      <c r="G659">
        <v>315</v>
      </c>
      <c r="H659">
        <f>Sales[[#This Row],[Turnover]]-Sales[[#This Row],[Cost]]</f>
        <v>61</v>
      </c>
      <c r="I659" s="3">
        <f>Sales[[#This Row],[Turnover]]*1000/Sales[[#This Row],[Quantity]]</f>
        <v>693.72693726937268</v>
      </c>
      <c r="J659" s="5">
        <f>Sales[[#This Row],[Quantity]]/SUM(Sales[Quantity])</f>
        <v>9.8386069113490693E-4</v>
      </c>
    </row>
    <row r="660" spans="1:10" x14ac:dyDescent="0.25">
      <c r="A660" t="s">
        <v>27</v>
      </c>
      <c r="B660" t="s">
        <v>23</v>
      </c>
      <c r="C660" t="s">
        <v>17</v>
      </c>
      <c r="D660">
        <v>2019</v>
      </c>
      <c r="E660">
        <v>445</v>
      </c>
      <c r="F660">
        <v>311</v>
      </c>
      <c r="G660">
        <v>259</v>
      </c>
      <c r="H660">
        <f>Sales[[#This Row],[Turnover]]-Sales[[#This Row],[Cost]]</f>
        <v>52</v>
      </c>
      <c r="I660" s="3">
        <f>Sales[[#This Row],[Turnover]]*1000/Sales[[#This Row],[Quantity]]</f>
        <v>698.87640449438197</v>
      </c>
      <c r="J660" s="5">
        <f>Sales[[#This Row],[Quantity]]/SUM(Sales[Quantity])</f>
        <v>8.0778230176205452E-4</v>
      </c>
    </row>
    <row r="661" spans="1:10" x14ac:dyDescent="0.25">
      <c r="A661" t="s">
        <v>27</v>
      </c>
      <c r="B661" t="s">
        <v>23</v>
      </c>
      <c r="C661" t="s">
        <v>15</v>
      </c>
      <c r="D661">
        <v>2019</v>
      </c>
      <c r="E661">
        <v>554</v>
      </c>
      <c r="F661">
        <v>329</v>
      </c>
      <c r="G661">
        <v>322</v>
      </c>
      <c r="H661">
        <f>Sales[[#This Row],[Turnover]]-Sales[[#This Row],[Cost]]</f>
        <v>7</v>
      </c>
      <c r="I661" s="3">
        <f>Sales[[#This Row],[Turnover]]*1000/Sales[[#This Row],[Quantity]]</f>
        <v>593.8628158844765</v>
      </c>
      <c r="J661" s="5">
        <f>Sales[[#This Row],[Quantity]]/SUM(Sales[Quantity])</f>
        <v>1.0056435846655691E-3</v>
      </c>
    </row>
    <row r="662" spans="1:10" x14ac:dyDescent="0.25">
      <c r="A662" t="s">
        <v>27</v>
      </c>
      <c r="B662" t="s">
        <v>23</v>
      </c>
      <c r="C662" t="s">
        <v>14</v>
      </c>
      <c r="D662">
        <v>2019</v>
      </c>
      <c r="E662">
        <v>550</v>
      </c>
      <c r="F662">
        <v>332</v>
      </c>
      <c r="G662">
        <v>320</v>
      </c>
      <c r="H662">
        <f>Sales[[#This Row],[Turnover]]-Sales[[#This Row],[Cost]]</f>
        <v>12</v>
      </c>
      <c r="I662" s="3">
        <f>Sales[[#This Row],[Turnover]]*1000/Sales[[#This Row],[Quantity]]</f>
        <v>603.63636363636363</v>
      </c>
      <c r="J662" s="5">
        <f>Sales[[#This Row],[Quantity]]/SUM(Sales[Quantity])</f>
        <v>9.9838262015534843E-4</v>
      </c>
    </row>
    <row r="663" spans="1:10" x14ac:dyDescent="0.25">
      <c r="A663" t="s">
        <v>27</v>
      </c>
      <c r="B663" t="s">
        <v>23</v>
      </c>
      <c r="C663" t="s">
        <v>2</v>
      </c>
      <c r="D663">
        <v>2019</v>
      </c>
      <c r="E663">
        <v>431</v>
      </c>
      <c r="F663">
        <v>259</v>
      </c>
      <c r="G663">
        <v>251</v>
      </c>
      <c r="H663">
        <f>Sales[[#This Row],[Turnover]]-Sales[[#This Row],[Cost]]</f>
        <v>8</v>
      </c>
      <c r="I663" s="3">
        <f>Sales[[#This Row],[Turnover]]*1000/Sales[[#This Row],[Quantity]]</f>
        <v>600.92807424593968</v>
      </c>
      <c r="J663" s="5">
        <f>Sales[[#This Row],[Quantity]]/SUM(Sales[Quantity])</f>
        <v>7.8236892597628206E-4</v>
      </c>
    </row>
    <row r="664" spans="1:10" x14ac:dyDescent="0.25">
      <c r="A664" t="s">
        <v>27</v>
      </c>
      <c r="B664" t="s">
        <v>23</v>
      </c>
      <c r="C664" t="s">
        <v>3</v>
      </c>
      <c r="D664">
        <v>2019</v>
      </c>
      <c r="E664">
        <v>381</v>
      </c>
      <c r="F664">
        <v>229</v>
      </c>
      <c r="G664">
        <v>222</v>
      </c>
      <c r="H664">
        <f>Sales[[#This Row],[Turnover]]-Sales[[#This Row],[Cost]]</f>
        <v>7</v>
      </c>
      <c r="I664" s="3">
        <f>Sales[[#This Row],[Turnover]]*1000/Sales[[#This Row],[Quantity]]</f>
        <v>601.04986876640419</v>
      </c>
      <c r="J664" s="5">
        <f>Sales[[#This Row],[Quantity]]/SUM(Sales[Quantity])</f>
        <v>6.9160686959852317E-4</v>
      </c>
    </row>
    <row r="665" spans="1:10" x14ac:dyDescent="0.25">
      <c r="A665" t="s">
        <v>27</v>
      </c>
      <c r="B665" t="s">
        <v>23</v>
      </c>
      <c r="C665" t="s">
        <v>18</v>
      </c>
      <c r="D665">
        <v>2019</v>
      </c>
      <c r="E665">
        <v>491</v>
      </c>
      <c r="F665">
        <v>296</v>
      </c>
      <c r="G665">
        <v>286</v>
      </c>
      <c r="H665">
        <f>Sales[[#This Row],[Turnover]]-Sales[[#This Row],[Cost]]</f>
        <v>10</v>
      </c>
      <c r="I665" s="3">
        <f>Sales[[#This Row],[Turnover]]*1000/Sales[[#This Row],[Quantity]]</f>
        <v>602.85132382892061</v>
      </c>
      <c r="J665" s="5">
        <f>Sales[[#This Row],[Quantity]]/SUM(Sales[Quantity])</f>
        <v>8.9128339362959277E-4</v>
      </c>
    </row>
    <row r="666" spans="1:10" x14ac:dyDescent="0.25">
      <c r="A666" t="s">
        <v>27</v>
      </c>
      <c r="B666" t="s">
        <v>23</v>
      </c>
      <c r="C666" t="s">
        <v>4</v>
      </c>
      <c r="D666">
        <v>2019</v>
      </c>
      <c r="E666">
        <v>438</v>
      </c>
      <c r="F666">
        <v>265</v>
      </c>
      <c r="G666">
        <v>255</v>
      </c>
      <c r="H666">
        <f>Sales[[#This Row],[Turnover]]-Sales[[#This Row],[Cost]]</f>
        <v>10</v>
      </c>
      <c r="I666" s="3">
        <f>Sales[[#This Row],[Turnover]]*1000/Sales[[#This Row],[Quantity]]</f>
        <v>605.02283105022832</v>
      </c>
      <c r="J666" s="5">
        <f>Sales[[#This Row],[Quantity]]/SUM(Sales[Quantity])</f>
        <v>7.9507561386916829E-4</v>
      </c>
    </row>
    <row r="667" spans="1:10" x14ac:dyDescent="0.25">
      <c r="A667" t="s">
        <v>27</v>
      </c>
      <c r="B667" t="s">
        <v>23</v>
      </c>
      <c r="C667" t="s">
        <v>19</v>
      </c>
      <c r="D667">
        <v>2019</v>
      </c>
      <c r="E667">
        <v>462</v>
      </c>
      <c r="F667">
        <v>280</v>
      </c>
      <c r="G667">
        <v>269</v>
      </c>
      <c r="H667">
        <f>Sales[[#This Row],[Turnover]]-Sales[[#This Row],[Cost]]</f>
        <v>11</v>
      </c>
      <c r="I667" s="3">
        <f>Sales[[#This Row],[Turnover]]*1000/Sales[[#This Row],[Quantity]]</f>
        <v>606.06060606060601</v>
      </c>
      <c r="J667" s="5">
        <f>Sales[[#This Row],[Quantity]]/SUM(Sales[Quantity])</f>
        <v>8.3864140093049258E-4</v>
      </c>
    </row>
    <row r="668" spans="1:10" x14ac:dyDescent="0.25">
      <c r="A668" t="s">
        <v>28</v>
      </c>
      <c r="B668" t="s">
        <v>23</v>
      </c>
      <c r="C668" t="s">
        <v>12</v>
      </c>
      <c r="D668">
        <v>2019</v>
      </c>
      <c r="E668">
        <v>431</v>
      </c>
      <c r="F668">
        <v>342</v>
      </c>
      <c r="G668">
        <v>259</v>
      </c>
      <c r="H668">
        <f>Sales[[#This Row],[Turnover]]-Sales[[#This Row],[Cost]]</f>
        <v>83</v>
      </c>
      <c r="I668" s="3">
        <f>Sales[[#This Row],[Turnover]]*1000/Sales[[#This Row],[Quantity]]</f>
        <v>793.50348027842233</v>
      </c>
      <c r="J668" s="5">
        <f>Sales[[#This Row],[Quantity]]/SUM(Sales[Quantity])</f>
        <v>7.8236892597628206E-4</v>
      </c>
    </row>
    <row r="669" spans="1:10" x14ac:dyDescent="0.25">
      <c r="A669" t="s">
        <v>28</v>
      </c>
      <c r="B669" t="s">
        <v>23</v>
      </c>
      <c r="C669" t="s">
        <v>13</v>
      </c>
      <c r="D669">
        <v>2019</v>
      </c>
      <c r="E669">
        <v>412</v>
      </c>
      <c r="F669">
        <v>329</v>
      </c>
      <c r="G669">
        <v>248</v>
      </c>
      <c r="H669">
        <f>Sales[[#This Row],[Turnover]]-Sales[[#This Row],[Cost]]</f>
        <v>81</v>
      </c>
      <c r="I669" s="3">
        <f>Sales[[#This Row],[Turnover]]*1000/Sales[[#This Row],[Quantity]]</f>
        <v>798.54368932038835</v>
      </c>
      <c r="J669" s="5">
        <f>Sales[[#This Row],[Quantity]]/SUM(Sales[Quantity])</f>
        <v>7.4787934455273369E-4</v>
      </c>
    </row>
    <row r="670" spans="1:10" x14ac:dyDescent="0.25">
      <c r="A670" t="s">
        <v>28</v>
      </c>
      <c r="B670" t="s">
        <v>23</v>
      </c>
      <c r="C670" t="s">
        <v>16</v>
      </c>
      <c r="D670">
        <v>2019</v>
      </c>
      <c r="E670">
        <v>361</v>
      </c>
      <c r="F670">
        <v>289</v>
      </c>
      <c r="G670">
        <v>217</v>
      </c>
      <c r="H670">
        <f>Sales[[#This Row],[Turnover]]-Sales[[#This Row],[Cost]]</f>
        <v>72</v>
      </c>
      <c r="I670" s="3">
        <f>Sales[[#This Row],[Turnover]]*1000/Sales[[#This Row],[Quantity]]</f>
        <v>800.5540166204986</v>
      </c>
      <c r="J670" s="5">
        <f>Sales[[#This Row],[Quantity]]/SUM(Sales[Quantity])</f>
        <v>6.5530204704741953E-4</v>
      </c>
    </row>
    <row r="671" spans="1:10" x14ac:dyDescent="0.25">
      <c r="A671" t="s">
        <v>28</v>
      </c>
      <c r="B671" t="s">
        <v>23</v>
      </c>
      <c r="C671" t="s">
        <v>1</v>
      </c>
      <c r="D671">
        <v>2019</v>
      </c>
      <c r="E671">
        <v>380</v>
      </c>
      <c r="F671">
        <v>303</v>
      </c>
      <c r="G671">
        <v>229</v>
      </c>
      <c r="H671">
        <f>Sales[[#This Row],[Turnover]]-Sales[[#This Row],[Cost]]</f>
        <v>74</v>
      </c>
      <c r="I671" s="3">
        <f>Sales[[#This Row],[Turnover]]*1000/Sales[[#This Row],[Quantity]]</f>
        <v>797.36842105263156</v>
      </c>
      <c r="J671" s="5">
        <f>Sales[[#This Row],[Quantity]]/SUM(Sales[Quantity])</f>
        <v>6.897916284709679E-4</v>
      </c>
    </row>
    <row r="672" spans="1:10" x14ac:dyDescent="0.25">
      <c r="A672" t="s">
        <v>28</v>
      </c>
      <c r="B672" t="s">
        <v>23</v>
      </c>
      <c r="C672" t="s">
        <v>17</v>
      </c>
      <c r="D672">
        <v>2019</v>
      </c>
      <c r="E672">
        <v>333</v>
      </c>
      <c r="F672">
        <v>265</v>
      </c>
      <c r="G672">
        <v>200</v>
      </c>
      <c r="H672">
        <f>Sales[[#This Row],[Turnover]]-Sales[[#This Row],[Cost]]</f>
        <v>65</v>
      </c>
      <c r="I672" s="3">
        <f>Sales[[#This Row],[Turnover]]*1000/Sales[[#This Row],[Quantity]]</f>
        <v>795.79579579579581</v>
      </c>
      <c r="J672" s="5">
        <f>Sales[[#This Row],[Quantity]]/SUM(Sales[Quantity])</f>
        <v>6.044752954758745E-4</v>
      </c>
    </row>
    <row r="673" spans="1:10" x14ac:dyDescent="0.25">
      <c r="A673" t="s">
        <v>28</v>
      </c>
      <c r="B673" t="s">
        <v>23</v>
      </c>
      <c r="C673" t="s">
        <v>15</v>
      </c>
      <c r="D673">
        <v>2019</v>
      </c>
      <c r="E673">
        <v>452</v>
      </c>
      <c r="F673">
        <v>318</v>
      </c>
      <c r="G673">
        <v>272</v>
      </c>
      <c r="H673">
        <f>Sales[[#This Row],[Turnover]]-Sales[[#This Row],[Cost]]</f>
        <v>46</v>
      </c>
      <c r="I673" s="3">
        <f>Sales[[#This Row],[Turnover]]*1000/Sales[[#This Row],[Quantity]]</f>
        <v>703.53982300884957</v>
      </c>
      <c r="J673" s="5">
        <f>Sales[[#This Row],[Quantity]]/SUM(Sales[Quantity])</f>
        <v>8.2048898965494086E-4</v>
      </c>
    </row>
    <row r="674" spans="1:10" x14ac:dyDescent="0.25">
      <c r="A674" t="s">
        <v>28</v>
      </c>
      <c r="B674" t="s">
        <v>23</v>
      </c>
      <c r="C674" t="s">
        <v>14</v>
      </c>
      <c r="D674">
        <v>2019</v>
      </c>
      <c r="E674">
        <v>414</v>
      </c>
      <c r="F674">
        <v>289</v>
      </c>
      <c r="G674">
        <v>249</v>
      </c>
      <c r="H674">
        <f>Sales[[#This Row],[Turnover]]-Sales[[#This Row],[Cost]]</f>
        <v>40</v>
      </c>
      <c r="I674" s="3">
        <f>Sales[[#This Row],[Turnover]]*1000/Sales[[#This Row],[Quantity]]</f>
        <v>698.06763285024158</v>
      </c>
      <c r="J674" s="5">
        <f>Sales[[#This Row],[Quantity]]/SUM(Sales[Quantity])</f>
        <v>7.5150982680784401E-4</v>
      </c>
    </row>
    <row r="675" spans="1:10" x14ac:dyDescent="0.25">
      <c r="A675" t="s">
        <v>28</v>
      </c>
      <c r="B675" t="s">
        <v>23</v>
      </c>
      <c r="C675" t="s">
        <v>2</v>
      </c>
      <c r="D675">
        <v>2019</v>
      </c>
      <c r="E675">
        <v>422</v>
      </c>
      <c r="F675">
        <v>294</v>
      </c>
      <c r="G675">
        <v>254</v>
      </c>
      <c r="H675">
        <f>Sales[[#This Row],[Turnover]]-Sales[[#This Row],[Cost]]</f>
        <v>40</v>
      </c>
      <c r="I675" s="3">
        <f>Sales[[#This Row],[Turnover]]*1000/Sales[[#This Row],[Quantity]]</f>
        <v>696.6824644549763</v>
      </c>
      <c r="J675" s="5">
        <f>Sales[[#This Row],[Quantity]]/SUM(Sales[Quantity])</f>
        <v>7.660317558282854E-4</v>
      </c>
    </row>
    <row r="676" spans="1:10" x14ac:dyDescent="0.25">
      <c r="A676" t="s">
        <v>28</v>
      </c>
      <c r="B676" t="s">
        <v>23</v>
      </c>
      <c r="C676" t="s">
        <v>3</v>
      </c>
      <c r="D676">
        <v>2019</v>
      </c>
      <c r="E676">
        <v>397</v>
      </c>
      <c r="F676">
        <v>277</v>
      </c>
      <c r="G676">
        <v>239</v>
      </c>
      <c r="H676">
        <f>Sales[[#This Row],[Turnover]]-Sales[[#This Row],[Cost]]</f>
        <v>38</v>
      </c>
      <c r="I676" s="3">
        <f>Sales[[#This Row],[Turnover]]*1000/Sales[[#This Row],[Quantity]]</f>
        <v>697.73299748110833</v>
      </c>
      <c r="J676" s="5">
        <f>Sales[[#This Row],[Quantity]]/SUM(Sales[Quantity])</f>
        <v>7.2065072763940596E-4</v>
      </c>
    </row>
    <row r="677" spans="1:10" x14ac:dyDescent="0.25">
      <c r="A677" t="s">
        <v>28</v>
      </c>
      <c r="B677" t="s">
        <v>23</v>
      </c>
      <c r="C677" t="s">
        <v>18</v>
      </c>
      <c r="D677">
        <v>2019</v>
      </c>
      <c r="E677">
        <v>439</v>
      </c>
      <c r="F677">
        <v>305</v>
      </c>
      <c r="G677">
        <v>264</v>
      </c>
      <c r="H677">
        <f>Sales[[#This Row],[Turnover]]-Sales[[#This Row],[Cost]]</f>
        <v>41</v>
      </c>
      <c r="I677" s="3">
        <f>Sales[[#This Row],[Turnover]]*1000/Sales[[#This Row],[Quantity]]</f>
        <v>694.76082004555803</v>
      </c>
      <c r="J677" s="5">
        <f>Sales[[#This Row],[Quantity]]/SUM(Sales[Quantity])</f>
        <v>7.9689085499672345E-4</v>
      </c>
    </row>
    <row r="678" spans="1:10" x14ac:dyDescent="0.25">
      <c r="A678" t="s">
        <v>28</v>
      </c>
      <c r="B678" t="s">
        <v>23</v>
      </c>
      <c r="C678" t="s">
        <v>4</v>
      </c>
      <c r="D678">
        <v>2019</v>
      </c>
      <c r="E678">
        <v>425</v>
      </c>
      <c r="F678">
        <v>295</v>
      </c>
      <c r="G678">
        <v>256</v>
      </c>
      <c r="H678">
        <f>Sales[[#This Row],[Turnover]]-Sales[[#This Row],[Cost]]</f>
        <v>39</v>
      </c>
      <c r="I678" s="3">
        <f>Sales[[#This Row],[Turnover]]*1000/Sales[[#This Row],[Quantity]]</f>
        <v>694.11764705882354</v>
      </c>
      <c r="J678" s="5">
        <f>Sales[[#This Row],[Quantity]]/SUM(Sales[Quantity])</f>
        <v>7.7147747921095099E-4</v>
      </c>
    </row>
    <row r="679" spans="1:10" x14ac:dyDescent="0.25">
      <c r="A679" t="s">
        <v>28</v>
      </c>
      <c r="B679" t="s">
        <v>23</v>
      </c>
      <c r="C679" t="s">
        <v>19</v>
      </c>
      <c r="D679">
        <v>2019</v>
      </c>
      <c r="E679">
        <v>355</v>
      </c>
      <c r="F679">
        <v>247</v>
      </c>
      <c r="G679">
        <v>214</v>
      </c>
      <c r="H679">
        <f>Sales[[#This Row],[Turnover]]-Sales[[#This Row],[Cost]]</f>
        <v>33</v>
      </c>
      <c r="I679" s="3">
        <f>Sales[[#This Row],[Turnover]]*1000/Sales[[#This Row],[Quantity]]</f>
        <v>695.77464788732391</v>
      </c>
      <c r="J679" s="5">
        <f>Sales[[#This Row],[Quantity]]/SUM(Sales[Quantity])</f>
        <v>6.4441060028208846E-4</v>
      </c>
    </row>
    <row r="680" spans="1:10" x14ac:dyDescent="0.25">
      <c r="A680" t="s">
        <v>30</v>
      </c>
      <c r="B680" t="s">
        <v>23</v>
      </c>
      <c r="C680" t="s">
        <v>12</v>
      </c>
      <c r="D680">
        <v>2019</v>
      </c>
      <c r="E680">
        <v>412</v>
      </c>
      <c r="F680">
        <v>616</v>
      </c>
      <c r="G680">
        <v>499</v>
      </c>
      <c r="H680">
        <f>Sales[[#This Row],[Turnover]]-Sales[[#This Row],[Cost]]</f>
        <v>117</v>
      </c>
      <c r="I680" s="3">
        <f>Sales[[#This Row],[Turnover]]*1000/Sales[[#This Row],[Quantity]]</f>
        <v>1495.1456310679612</v>
      </c>
      <c r="J680" s="5">
        <f>Sales[[#This Row],[Quantity]]/SUM(Sales[Quantity])</f>
        <v>7.4787934455273369E-4</v>
      </c>
    </row>
    <row r="681" spans="1:10" x14ac:dyDescent="0.25">
      <c r="A681" t="s">
        <v>30</v>
      </c>
      <c r="B681" t="s">
        <v>23</v>
      </c>
      <c r="C681" t="s">
        <v>13</v>
      </c>
      <c r="D681">
        <v>2019</v>
      </c>
      <c r="E681">
        <v>309</v>
      </c>
      <c r="F681">
        <v>465</v>
      </c>
      <c r="G681">
        <v>374</v>
      </c>
      <c r="H681">
        <f>Sales[[#This Row],[Turnover]]-Sales[[#This Row],[Cost]]</f>
        <v>91</v>
      </c>
      <c r="I681" s="3">
        <f>Sales[[#This Row],[Turnover]]*1000/Sales[[#This Row],[Quantity]]</f>
        <v>1504.8543689320388</v>
      </c>
      <c r="J681" s="5">
        <f>Sales[[#This Row],[Quantity]]/SUM(Sales[Quantity])</f>
        <v>5.6090950841455021E-4</v>
      </c>
    </row>
    <row r="682" spans="1:10" x14ac:dyDescent="0.25">
      <c r="A682" t="s">
        <v>30</v>
      </c>
      <c r="B682" t="s">
        <v>23</v>
      </c>
      <c r="C682" t="s">
        <v>16</v>
      </c>
      <c r="D682">
        <v>2019</v>
      </c>
      <c r="E682">
        <v>272</v>
      </c>
      <c r="F682">
        <v>405</v>
      </c>
      <c r="G682">
        <v>330</v>
      </c>
      <c r="H682">
        <f>Sales[[#This Row],[Turnover]]-Sales[[#This Row],[Cost]]</f>
        <v>75</v>
      </c>
      <c r="I682" s="3">
        <f>Sales[[#This Row],[Turnover]]*1000/Sales[[#This Row],[Quantity]]</f>
        <v>1488.9705882352941</v>
      </c>
      <c r="J682" s="5">
        <f>Sales[[#This Row],[Quantity]]/SUM(Sales[Quantity])</f>
        <v>4.9374558669500863E-4</v>
      </c>
    </row>
    <row r="683" spans="1:10" x14ac:dyDescent="0.25">
      <c r="A683" t="s">
        <v>30</v>
      </c>
      <c r="B683" t="s">
        <v>23</v>
      </c>
      <c r="C683" t="s">
        <v>1</v>
      </c>
      <c r="D683">
        <v>2019</v>
      </c>
      <c r="E683">
        <v>245</v>
      </c>
      <c r="F683">
        <v>369</v>
      </c>
      <c r="G683">
        <v>297</v>
      </c>
      <c r="H683">
        <f>Sales[[#This Row],[Turnover]]-Sales[[#This Row],[Cost]]</f>
        <v>72</v>
      </c>
      <c r="I683" s="3">
        <f>Sales[[#This Row],[Turnover]]*1000/Sales[[#This Row],[Quantity]]</f>
        <v>1506.1224489795918</v>
      </c>
      <c r="J683" s="5">
        <f>Sales[[#This Row],[Quantity]]/SUM(Sales[Quantity])</f>
        <v>4.4473407625101881E-4</v>
      </c>
    </row>
    <row r="684" spans="1:10" x14ac:dyDescent="0.25">
      <c r="A684" t="s">
        <v>30</v>
      </c>
      <c r="B684" t="s">
        <v>23</v>
      </c>
      <c r="C684" t="s">
        <v>17</v>
      </c>
      <c r="D684">
        <v>2019</v>
      </c>
      <c r="E684">
        <v>261</v>
      </c>
      <c r="F684">
        <v>391</v>
      </c>
      <c r="G684">
        <v>316</v>
      </c>
      <c r="H684">
        <f>Sales[[#This Row],[Turnover]]-Sales[[#This Row],[Cost]]</f>
        <v>75</v>
      </c>
      <c r="I684" s="3">
        <f>Sales[[#This Row],[Turnover]]*1000/Sales[[#This Row],[Quantity]]</f>
        <v>1498.0842911877394</v>
      </c>
      <c r="J684" s="5">
        <f>Sales[[#This Row],[Quantity]]/SUM(Sales[Quantity])</f>
        <v>4.7377793429190164E-4</v>
      </c>
    </row>
    <row r="685" spans="1:10" x14ac:dyDescent="0.25">
      <c r="A685" t="s">
        <v>30</v>
      </c>
      <c r="B685" t="s">
        <v>23</v>
      </c>
      <c r="C685" t="s">
        <v>15</v>
      </c>
      <c r="D685">
        <v>2019</v>
      </c>
      <c r="E685">
        <v>234</v>
      </c>
      <c r="F685">
        <v>352</v>
      </c>
      <c r="G685">
        <v>283</v>
      </c>
      <c r="H685">
        <f>Sales[[#This Row],[Turnover]]-Sales[[#This Row],[Cost]]</f>
        <v>69</v>
      </c>
      <c r="I685" s="3">
        <f>Sales[[#This Row],[Turnover]]*1000/Sales[[#This Row],[Quantity]]</f>
        <v>1504.2735042735044</v>
      </c>
      <c r="J685" s="5">
        <f>Sales[[#This Row],[Quantity]]/SUM(Sales[Quantity])</f>
        <v>4.2476642384791182E-4</v>
      </c>
    </row>
    <row r="686" spans="1:10" x14ac:dyDescent="0.25">
      <c r="A686" t="s">
        <v>30</v>
      </c>
      <c r="B686" t="s">
        <v>23</v>
      </c>
      <c r="C686" t="s">
        <v>14</v>
      </c>
      <c r="D686">
        <v>2019</v>
      </c>
      <c r="E686">
        <v>221</v>
      </c>
      <c r="F686">
        <v>329</v>
      </c>
      <c r="G686">
        <v>268</v>
      </c>
      <c r="H686">
        <f>Sales[[#This Row],[Turnover]]-Sales[[#This Row],[Cost]]</f>
        <v>61</v>
      </c>
      <c r="I686" s="3">
        <f>Sales[[#This Row],[Turnover]]*1000/Sales[[#This Row],[Quantity]]</f>
        <v>1488.6877828054298</v>
      </c>
      <c r="J686" s="5">
        <f>Sales[[#This Row],[Quantity]]/SUM(Sales[Quantity])</f>
        <v>4.0116828918969452E-4</v>
      </c>
    </row>
    <row r="687" spans="1:10" x14ac:dyDescent="0.25">
      <c r="A687" t="s">
        <v>26</v>
      </c>
      <c r="B687" t="s">
        <v>23</v>
      </c>
      <c r="C687" t="s">
        <v>12</v>
      </c>
      <c r="D687">
        <v>2019</v>
      </c>
      <c r="E687">
        <v>220</v>
      </c>
      <c r="F687">
        <v>773</v>
      </c>
      <c r="G687">
        <v>267</v>
      </c>
      <c r="H687">
        <f>Sales[[#This Row],[Turnover]]-Sales[[#This Row],[Cost]]</f>
        <v>506</v>
      </c>
      <c r="I687" s="3">
        <f>Sales[[#This Row],[Turnover]]*1000/Sales[[#This Row],[Quantity]]</f>
        <v>3513.6363636363635</v>
      </c>
      <c r="J687" s="5">
        <f>Sales[[#This Row],[Quantity]]/SUM(Sales[Quantity])</f>
        <v>3.9935304806213936E-4</v>
      </c>
    </row>
    <row r="688" spans="1:10" x14ac:dyDescent="0.25">
      <c r="A688" t="s">
        <v>26</v>
      </c>
      <c r="B688" t="s">
        <v>23</v>
      </c>
      <c r="C688" t="s">
        <v>13</v>
      </c>
      <c r="D688">
        <v>2019</v>
      </c>
      <c r="E688">
        <v>262</v>
      </c>
      <c r="F688">
        <v>910</v>
      </c>
      <c r="G688">
        <v>317</v>
      </c>
      <c r="H688">
        <f>Sales[[#This Row],[Turnover]]-Sales[[#This Row],[Cost]]</f>
        <v>593</v>
      </c>
      <c r="I688" s="3">
        <f>Sales[[#This Row],[Turnover]]*1000/Sales[[#This Row],[Quantity]]</f>
        <v>3473.2824427480914</v>
      </c>
      <c r="J688" s="5">
        <f>Sales[[#This Row],[Quantity]]/SUM(Sales[Quantity])</f>
        <v>4.7559317541945686E-4</v>
      </c>
    </row>
    <row r="689" spans="1:10" x14ac:dyDescent="0.25">
      <c r="A689" t="s">
        <v>26</v>
      </c>
      <c r="B689" t="s">
        <v>23</v>
      </c>
      <c r="C689" t="s">
        <v>16</v>
      </c>
      <c r="D689">
        <v>2019</v>
      </c>
      <c r="E689">
        <v>217</v>
      </c>
      <c r="F689">
        <v>754</v>
      </c>
      <c r="G689">
        <v>264</v>
      </c>
      <c r="H689">
        <f>Sales[[#This Row],[Turnover]]-Sales[[#This Row],[Cost]]</f>
        <v>490</v>
      </c>
      <c r="I689" s="3">
        <f>Sales[[#This Row],[Turnover]]*1000/Sales[[#This Row],[Quantity]]</f>
        <v>3474.6543778801843</v>
      </c>
      <c r="J689" s="5">
        <f>Sales[[#This Row],[Quantity]]/SUM(Sales[Quantity])</f>
        <v>3.9390732467947377E-4</v>
      </c>
    </row>
    <row r="690" spans="1:10" x14ac:dyDescent="0.25">
      <c r="A690" t="s">
        <v>26</v>
      </c>
      <c r="B690" t="s">
        <v>23</v>
      </c>
      <c r="C690" t="s">
        <v>1</v>
      </c>
      <c r="D690">
        <v>2019</v>
      </c>
      <c r="E690">
        <v>198</v>
      </c>
      <c r="F690">
        <v>690</v>
      </c>
      <c r="G690">
        <v>241</v>
      </c>
      <c r="H690">
        <f>Sales[[#This Row],[Turnover]]-Sales[[#This Row],[Cost]]</f>
        <v>449</v>
      </c>
      <c r="I690" s="3">
        <f>Sales[[#This Row],[Turnover]]*1000/Sales[[#This Row],[Quantity]]</f>
        <v>3484.848484848485</v>
      </c>
      <c r="J690" s="5">
        <f>Sales[[#This Row],[Quantity]]/SUM(Sales[Quantity])</f>
        <v>3.594177432559254E-4</v>
      </c>
    </row>
    <row r="691" spans="1:10" x14ac:dyDescent="0.25">
      <c r="A691" t="s">
        <v>26</v>
      </c>
      <c r="B691" t="s">
        <v>23</v>
      </c>
      <c r="C691" t="s">
        <v>17</v>
      </c>
      <c r="D691">
        <v>2019</v>
      </c>
      <c r="E691">
        <v>190</v>
      </c>
      <c r="F691">
        <v>672</v>
      </c>
      <c r="G691">
        <v>231</v>
      </c>
      <c r="H691">
        <f>Sales[[#This Row],[Turnover]]-Sales[[#This Row],[Cost]]</f>
        <v>441</v>
      </c>
      <c r="I691" s="3">
        <f>Sales[[#This Row],[Turnover]]*1000/Sales[[#This Row],[Quantity]]</f>
        <v>3536.8421052631579</v>
      </c>
      <c r="J691" s="5">
        <f>Sales[[#This Row],[Quantity]]/SUM(Sales[Quantity])</f>
        <v>3.4489581423548395E-4</v>
      </c>
    </row>
    <row r="692" spans="1:10" x14ac:dyDescent="0.25">
      <c r="A692" t="s">
        <v>26</v>
      </c>
      <c r="B692" t="s">
        <v>23</v>
      </c>
      <c r="C692" t="s">
        <v>15</v>
      </c>
      <c r="D692">
        <v>2019</v>
      </c>
      <c r="E692">
        <v>184</v>
      </c>
      <c r="F692">
        <v>647</v>
      </c>
      <c r="G692">
        <v>223</v>
      </c>
      <c r="H692">
        <f>Sales[[#This Row],[Turnover]]-Sales[[#This Row],[Cost]]</f>
        <v>424</v>
      </c>
      <c r="I692" s="3">
        <f>Sales[[#This Row],[Turnover]]*1000/Sales[[#This Row],[Quantity]]</f>
        <v>3516.304347826087</v>
      </c>
      <c r="J692" s="5">
        <f>Sales[[#This Row],[Quantity]]/SUM(Sales[Quantity])</f>
        <v>3.3400436747015288E-4</v>
      </c>
    </row>
    <row r="693" spans="1:10" x14ac:dyDescent="0.25">
      <c r="A693" t="s">
        <v>26</v>
      </c>
      <c r="B693" t="s">
        <v>23</v>
      </c>
      <c r="C693" t="s">
        <v>14</v>
      </c>
      <c r="D693">
        <v>2019</v>
      </c>
      <c r="E693">
        <v>203</v>
      </c>
      <c r="F693">
        <v>711</v>
      </c>
      <c r="G693">
        <v>246</v>
      </c>
      <c r="H693">
        <f>Sales[[#This Row],[Turnover]]-Sales[[#This Row],[Cost]]</f>
        <v>465</v>
      </c>
      <c r="I693" s="3">
        <f>Sales[[#This Row],[Turnover]]*1000/Sales[[#This Row],[Quantity]]</f>
        <v>3502.463054187192</v>
      </c>
      <c r="J693" s="5">
        <f>Sales[[#This Row],[Quantity]]/SUM(Sales[Quantity])</f>
        <v>3.6849394889370131E-4</v>
      </c>
    </row>
    <row r="694" spans="1:10" x14ac:dyDescent="0.25">
      <c r="A694" t="s">
        <v>26</v>
      </c>
      <c r="B694" t="s">
        <v>23</v>
      </c>
      <c r="C694" t="s">
        <v>2</v>
      </c>
      <c r="D694">
        <v>2019</v>
      </c>
      <c r="E694">
        <v>197</v>
      </c>
      <c r="F694">
        <v>684</v>
      </c>
      <c r="G694">
        <v>239</v>
      </c>
      <c r="H694">
        <f>Sales[[#This Row],[Turnover]]-Sales[[#This Row],[Cost]]</f>
        <v>445</v>
      </c>
      <c r="I694" s="3">
        <f>Sales[[#This Row],[Turnover]]*1000/Sales[[#This Row],[Quantity]]</f>
        <v>3472.0812182741115</v>
      </c>
      <c r="J694" s="5">
        <f>Sales[[#This Row],[Quantity]]/SUM(Sales[Quantity])</f>
        <v>3.5760250212837024E-4</v>
      </c>
    </row>
    <row r="695" spans="1:10" x14ac:dyDescent="0.25">
      <c r="A695" t="s">
        <v>26</v>
      </c>
      <c r="B695" t="s">
        <v>23</v>
      </c>
      <c r="C695" t="s">
        <v>3</v>
      </c>
      <c r="D695">
        <v>2019</v>
      </c>
      <c r="E695">
        <v>147</v>
      </c>
      <c r="F695">
        <v>513</v>
      </c>
      <c r="G695">
        <v>179</v>
      </c>
      <c r="H695">
        <f>Sales[[#This Row],[Turnover]]-Sales[[#This Row],[Cost]]</f>
        <v>334</v>
      </c>
      <c r="I695" s="3">
        <f>Sales[[#This Row],[Turnover]]*1000/Sales[[#This Row],[Quantity]]</f>
        <v>3489.795918367347</v>
      </c>
      <c r="J695" s="5">
        <f>Sales[[#This Row],[Quantity]]/SUM(Sales[Quantity])</f>
        <v>2.6684044575061129E-4</v>
      </c>
    </row>
    <row r="696" spans="1:10" x14ac:dyDescent="0.25">
      <c r="A696" t="s">
        <v>26</v>
      </c>
      <c r="B696" t="s">
        <v>23</v>
      </c>
      <c r="C696" t="s">
        <v>18</v>
      </c>
      <c r="D696">
        <v>2019</v>
      </c>
      <c r="E696">
        <v>139</v>
      </c>
      <c r="F696">
        <v>485</v>
      </c>
      <c r="G696">
        <v>168</v>
      </c>
      <c r="H696">
        <f>Sales[[#This Row],[Turnover]]-Sales[[#This Row],[Cost]]</f>
        <v>317</v>
      </c>
      <c r="I696" s="3">
        <f>Sales[[#This Row],[Turnover]]*1000/Sales[[#This Row],[Quantity]]</f>
        <v>3489.2086330935253</v>
      </c>
      <c r="J696" s="5">
        <f>Sales[[#This Row],[Quantity]]/SUM(Sales[Quantity])</f>
        <v>2.5231851673016985E-4</v>
      </c>
    </row>
    <row r="697" spans="1:10" x14ac:dyDescent="0.25">
      <c r="A697" t="s">
        <v>29</v>
      </c>
      <c r="B697" t="s">
        <v>23</v>
      </c>
      <c r="C697" t="s">
        <v>12</v>
      </c>
      <c r="D697">
        <v>2019</v>
      </c>
      <c r="E697">
        <v>220</v>
      </c>
      <c r="F697">
        <v>896</v>
      </c>
      <c r="G697">
        <v>315</v>
      </c>
      <c r="H697">
        <f>Sales[[#This Row],[Turnover]]-Sales[[#This Row],[Cost]]</f>
        <v>581</v>
      </c>
      <c r="I697" s="3">
        <f>Sales[[#This Row],[Turnover]]*1000/Sales[[#This Row],[Quantity]]</f>
        <v>4072.7272727272725</v>
      </c>
      <c r="J697" s="5">
        <f>Sales[[#This Row],[Quantity]]/SUM(Sales[Quantity])</f>
        <v>3.9935304806213936E-4</v>
      </c>
    </row>
    <row r="698" spans="1:10" x14ac:dyDescent="0.25">
      <c r="A698" t="s">
        <v>29</v>
      </c>
      <c r="B698" t="s">
        <v>23</v>
      </c>
      <c r="C698" t="s">
        <v>13</v>
      </c>
      <c r="D698">
        <v>2019</v>
      </c>
      <c r="E698">
        <v>195</v>
      </c>
      <c r="F698">
        <v>805</v>
      </c>
      <c r="G698">
        <v>279</v>
      </c>
      <c r="H698">
        <f>Sales[[#This Row],[Turnover]]-Sales[[#This Row],[Cost]]</f>
        <v>526</v>
      </c>
      <c r="I698" s="3">
        <f>Sales[[#This Row],[Turnover]]*1000/Sales[[#This Row],[Quantity]]</f>
        <v>4128.2051282051279</v>
      </c>
      <c r="J698" s="5">
        <f>Sales[[#This Row],[Quantity]]/SUM(Sales[Quantity])</f>
        <v>3.5397201987325986E-4</v>
      </c>
    </row>
    <row r="699" spans="1:10" x14ac:dyDescent="0.25">
      <c r="A699" t="s">
        <v>29</v>
      </c>
      <c r="B699" t="s">
        <v>23</v>
      </c>
      <c r="C699" t="s">
        <v>16</v>
      </c>
      <c r="D699">
        <v>2019</v>
      </c>
      <c r="E699">
        <v>201</v>
      </c>
      <c r="F699">
        <v>822</v>
      </c>
      <c r="G699">
        <v>288</v>
      </c>
      <c r="H699">
        <f>Sales[[#This Row],[Turnover]]-Sales[[#This Row],[Cost]]</f>
        <v>534</v>
      </c>
      <c r="I699" s="3">
        <f>Sales[[#This Row],[Turnover]]*1000/Sales[[#This Row],[Quantity]]</f>
        <v>4089.5522388059703</v>
      </c>
      <c r="J699" s="5">
        <f>Sales[[#This Row],[Quantity]]/SUM(Sales[Quantity])</f>
        <v>3.6486346663859093E-4</v>
      </c>
    </row>
    <row r="700" spans="1:10" x14ac:dyDescent="0.25">
      <c r="A700" t="s">
        <v>29</v>
      </c>
      <c r="B700" t="s">
        <v>23</v>
      </c>
      <c r="C700" t="s">
        <v>1</v>
      </c>
      <c r="D700">
        <v>2019</v>
      </c>
      <c r="E700">
        <v>190</v>
      </c>
      <c r="F700">
        <v>775</v>
      </c>
      <c r="G700">
        <v>272</v>
      </c>
      <c r="H700">
        <f>Sales[[#This Row],[Turnover]]-Sales[[#This Row],[Cost]]</f>
        <v>503</v>
      </c>
      <c r="I700" s="3">
        <f>Sales[[#This Row],[Turnover]]*1000/Sales[[#This Row],[Quantity]]</f>
        <v>4078.9473684210525</v>
      </c>
      <c r="J700" s="5">
        <f>Sales[[#This Row],[Quantity]]/SUM(Sales[Quantity])</f>
        <v>3.4489581423548395E-4</v>
      </c>
    </row>
    <row r="701" spans="1:10" x14ac:dyDescent="0.25">
      <c r="A701" t="s">
        <v>29</v>
      </c>
      <c r="B701" t="s">
        <v>23</v>
      </c>
      <c r="C701" t="s">
        <v>17</v>
      </c>
      <c r="D701">
        <v>2019</v>
      </c>
      <c r="E701">
        <v>198</v>
      </c>
      <c r="F701">
        <v>813</v>
      </c>
      <c r="G701">
        <v>283</v>
      </c>
      <c r="H701">
        <f>Sales[[#This Row],[Turnover]]-Sales[[#This Row],[Cost]]</f>
        <v>530</v>
      </c>
      <c r="I701" s="3">
        <f>Sales[[#This Row],[Turnover]]*1000/Sales[[#This Row],[Quantity]]</f>
        <v>4106.060606060606</v>
      </c>
      <c r="J701" s="5">
        <f>Sales[[#This Row],[Quantity]]/SUM(Sales[Quantity])</f>
        <v>3.594177432559254E-4</v>
      </c>
    </row>
    <row r="702" spans="1:10" x14ac:dyDescent="0.25">
      <c r="A702" t="s">
        <v>29</v>
      </c>
      <c r="B702" t="s">
        <v>23</v>
      </c>
      <c r="C702" t="s">
        <v>15</v>
      </c>
      <c r="D702">
        <v>2019</v>
      </c>
      <c r="E702">
        <v>189</v>
      </c>
      <c r="F702">
        <v>770</v>
      </c>
      <c r="G702">
        <v>270</v>
      </c>
      <c r="H702">
        <f>Sales[[#This Row],[Turnover]]-Sales[[#This Row],[Cost]]</f>
        <v>500</v>
      </c>
      <c r="I702" s="3">
        <f>Sales[[#This Row],[Turnover]]*1000/Sales[[#This Row],[Quantity]]</f>
        <v>4074.0740740740739</v>
      </c>
      <c r="J702" s="5">
        <f>Sales[[#This Row],[Quantity]]/SUM(Sales[Quantity])</f>
        <v>3.4308057310792879E-4</v>
      </c>
    </row>
    <row r="703" spans="1:10" x14ac:dyDescent="0.25">
      <c r="A703" t="s">
        <v>29</v>
      </c>
      <c r="B703" t="s">
        <v>23</v>
      </c>
      <c r="C703" t="s">
        <v>14</v>
      </c>
      <c r="D703">
        <v>2019</v>
      </c>
      <c r="E703">
        <v>167</v>
      </c>
      <c r="F703">
        <v>688</v>
      </c>
      <c r="G703">
        <v>239</v>
      </c>
      <c r="H703">
        <f>Sales[[#This Row],[Turnover]]-Sales[[#This Row],[Cost]]</f>
        <v>449</v>
      </c>
      <c r="I703" s="3">
        <f>Sales[[#This Row],[Turnover]]*1000/Sales[[#This Row],[Quantity]]</f>
        <v>4119.7604790419164</v>
      </c>
      <c r="J703" s="5">
        <f>Sales[[#This Row],[Quantity]]/SUM(Sales[Quantity])</f>
        <v>3.0314526830171488E-4</v>
      </c>
    </row>
    <row r="704" spans="1:10" x14ac:dyDescent="0.25">
      <c r="A704" t="s">
        <v>29</v>
      </c>
      <c r="B704" t="s">
        <v>23</v>
      </c>
      <c r="C704" t="s">
        <v>2</v>
      </c>
      <c r="D704">
        <v>2019</v>
      </c>
      <c r="E704">
        <v>144</v>
      </c>
      <c r="F704">
        <v>590</v>
      </c>
      <c r="G704">
        <v>206</v>
      </c>
      <c r="H704">
        <f>Sales[[#This Row],[Turnover]]-Sales[[#This Row],[Cost]]</f>
        <v>384</v>
      </c>
      <c r="I704" s="3">
        <f>Sales[[#This Row],[Turnover]]*1000/Sales[[#This Row],[Quantity]]</f>
        <v>4097.2222222222226</v>
      </c>
      <c r="J704" s="5">
        <f>Sales[[#This Row],[Quantity]]/SUM(Sales[Quantity])</f>
        <v>2.6139472236794576E-4</v>
      </c>
    </row>
    <row r="705" spans="1:10" x14ac:dyDescent="0.25">
      <c r="A705" t="s">
        <v>29</v>
      </c>
      <c r="B705" t="s">
        <v>23</v>
      </c>
      <c r="C705" t="s">
        <v>3</v>
      </c>
      <c r="D705">
        <v>2019</v>
      </c>
      <c r="E705">
        <v>152</v>
      </c>
      <c r="F705">
        <v>626</v>
      </c>
      <c r="G705">
        <v>217</v>
      </c>
      <c r="H705">
        <f>Sales[[#This Row],[Turnover]]-Sales[[#This Row],[Cost]]</f>
        <v>409</v>
      </c>
      <c r="I705" s="3">
        <f>Sales[[#This Row],[Turnover]]*1000/Sales[[#This Row],[Quantity]]</f>
        <v>4118.4210526315792</v>
      </c>
      <c r="J705" s="5">
        <f>Sales[[#This Row],[Quantity]]/SUM(Sales[Quantity])</f>
        <v>2.7591665138838715E-4</v>
      </c>
    </row>
    <row r="706" spans="1:10" x14ac:dyDescent="0.25">
      <c r="A706" t="s">
        <v>29</v>
      </c>
      <c r="B706" t="s">
        <v>23</v>
      </c>
      <c r="C706" t="s">
        <v>18</v>
      </c>
      <c r="D706">
        <v>2019</v>
      </c>
      <c r="E706">
        <v>181</v>
      </c>
      <c r="F706">
        <v>749</v>
      </c>
      <c r="G706">
        <v>259</v>
      </c>
      <c r="H706">
        <f>Sales[[#This Row],[Turnover]]-Sales[[#This Row],[Cost]]</f>
        <v>490</v>
      </c>
      <c r="I706" s="3">
        <f>Sales[[#This Row],[Turnover]]*1000/Sales[[#This Row],[Quantity]]</f>
        <v>4138.1215469613262</v>
      </c>
      <c r="J706" s="5">
        <f>Sales[[#This Row],[Quantity]]/SUM(Sales[Quantity])</f>
        <v>3.2855864408748735E-4</v>
      </c>
    </row>
    <row r="707" spans="1:10" x14ac:dyDescent="0.25">
      <c r="A707" t="s">
        <v>27</v>
      </c>
      <c r="B707" t="s">
        <v>23</v>
      </c>
      <c r="C707" t="s">
        <v>12</v>
      </c>
      <c r="D707">
        <v>2020</v>
      </c>
      <c r="E707">
        <v>436</v>
      </c>
      <c r="F707">
        <v>262</v>
      </c>
      <c r="G707">
        <v>253</v>
      </c>
      <c r="H707">
        <f>Sales[[#This Row],[Turnover]]-Sales[[#This Row],[Cost]]</f>
        <v>9</v>
      </c>
      <c r="I707" s="3">
        <f>Sales[[#This Row],[Turnover]]*1000/Sales[[#This Row],[Quantity]]</f>
        <v>600.9174311926605</v>
      </c>
      <c r="J707" s="5">
        <f>Sales[[#This Row],[Quantity]]/SUM(Sales[Quantity])</f>
        <v>7.9144513161405797E-4</v>
      </c>
    </row>
    <row r="708" spans="1:10" x14ac:dyDescent="0.25">
      <c r="A708" t="s">
        <v>27</v>
      </c>
      <c r="B708" t="s">
        <v>23</v>
      </c>
      <c r="C708" t="s">
        <v>13</v>
      </c>
      <c r="D708">
        <v>2020</v>
      </c>
      <c r="E708">
        <v>470</v>
      </c>
      <c r="F708">
        <v>282</v>
      </c>
      <c r="G708">
        <v>273</v>
      </c>
      <c r="H708">
        <f>Sales[[#This Row],[Turnover]]-Sales[[#This Row],[Cost]]</f>
        <v>9</v>
      </c>
      <c r="I708" s="3">
        <f>Sales[[#This Row],[Turnover]]*1000/Sales[[#This Row],[Quantity]]</f>
        <v>600</v>
      </c>
      <c r="J708" s="5">
        <f>Sales[[#This Row],[Quantity]]/SUM(Sales[Quantity])</f>
        <v>8.5316332995093408E-4</v>
      </c>
    </row>
    <row r="709" spans="1:10" x14ac:dyDescent="0.25">
      <c r="A709" t="s">
        <v>27</v>
      </c>
      <c r="B709" t="s">
        <v>23</v>
      </c>
      <c r="C709" t="s">
        <v>16</v>
      </c>
      <c r="D709">
        <v>2020</v>
      </c>
      <c r="E709">
        <v>479</v>
      </c>
      <c r="F709">
        <v>290</v>
      </c>
      <c r="G709">
        <v>279</v>
      </c>
      <c r="H709">
        <f>Sales[[#This Row],[Turnover]]-Sales[[#This Row],[Cost]]</f>
        <v>11</v>
      </c>
      <c r="I709" s="3">
        <f>Sales[[#This Row],[Turnover]]*1000/Sales[[#This Row],[Quantity]]</f>
        <v>605.42797494780791</v>
      </c>
      <c r="J709" s="5">
        <f>Sales[[#This Row],[Quantity]]/SUM(Sales[Quantity])</f>
        <v>8.6950050009893063E-4</v>
      </c>
    </row>
    <row r="710" spans="1:10" x14ac:dyDescent="0.25">
      <c r="A710" t="s">
        <v>27</v>
      </c>
      <c r="B710" t="s">
        <v>23</v>
      </c>
      <c r="C710" t="s">
        <v>1</v>
      </c>
      <c r="D710">
        <v>2020</v>
      </c>
      <c r="E710">
        <v>377</v>
      </c>
      <c r="F710">
        <v>225</v>
      </c>
      <c r="G710">
        <v>220</v>
      </c>
      <c r="H710">
        <f>Sales[[#This Row],[Turnover]]-Sales[[#This Row],[Cost]]</f>
        <v>5</v>
      </c>
      <c r="I710" s="3">
        <f>Sales[[#This Row],[Turnover]]*1000/Sales[[#This Row],[Quantity]]</f>
        <v>596.81697612732091</v>
      </c>
      <c r="J710" s="5">
        <f>Sales[[#This Row],[Quantity]]/SUM(Sales[Quantity])</f>
        <v>6.8434590508830242E-4</v>
      </c>
    </row>
    <row r="711" spans="1:10" x14ac:dyDescent="0.25">
      <c r="A711" t="s">
        <v>27</v>
      </c>
      <c r="B711" t="s">
        <v>23</v>
      </c>
      <c r="C711" t="s">
        <v>17</v>
      </c>
      <c r="D711">
        <v>2020</v>
      </c>
      <c r="E711">
        <v>387</v>
      </c>
      <c r="F711">
        <v>231</v>
      </c>
      <c r="G711">
        <v>225</v>
      </c>
      <c r="H711">
        <f>Sales[[#This Row],[Turnover]]-Sales[[#This Row],[Cost]]</f>
        <v>6</v>
      </c>
      <c r="I711" s="3">
        <f>Sales[[#This Row],[Turnover]]*1000/Sales[[#This Row],[Quantity]]</f>
        <v>596.89922480620157</v>
      </c>
      <c r="J711" s="5">
        <f>Sales[[#This Row],[Quantity]]/SUM(Sales[Quantity])</f>
        <v>7.0249831636385424E-4</v>
      </c>
    </row>
    <row r="712" spans="1:10" x14ac:dyDescent="0.25">
      <c r="A712" t="s">
        <v>27</v>
      </c>
      <c r="B712" t="s">
        <v>23</v>
      </c>
      <c r="C712" t="s">
        <v>15</v>
      </c>
      <c r="D712">
        <v>2020</v>
      </c>
      <c r="E712">
        <v>378</v>
      </c>
      <c r="F712">
        <v>227</v>
      </c>
      <c r="G712">
        <v>220</v>
      </c>
      <c r="H712">
        <f>Sales[[#This Row],[Turnover]]-Sales[[#This Row],[Cost]]</f>
        <v>7</v>
      </c>
      <c r="I712" s="3">
        <f>Sales[[#This Row],[Turnover]]*1000/Sales[[#This Row],[Quantity]]</f>
        <v>600.52910052910056</v>
      </c>
      <c r="J712" s="5">
        <f>Sales[[#This Row],[Quantity]]/SUM(Sales[Quantity])</f>
        <v>6.8616114621585758E-4</v>
      </c>
    </row>
    <row r="713" spans="1:10" x14ac:dyDescent="0.25">
      <c r="A713" t="s">
        <v>27</v>
      </c>
      <c r="B713" t="s">
        <v>23</v>
      </c>
      <c r="C713" t="s">
        <v>14</v>
      </c>
      <c r="D713">
        <v>2020</v>
      </c>
      <c r="E713">
        <v>350</v>
      </c>
      <c r="F713">
        <v>210</v>
      </c>
      <c r="G713">
        <v>204</v>
      </c>
      <c r="H713">
        <f>Sales[[#This Row],[Turnover]]-Sales[[#This Row],[Cost]]</f>
        <v>6</v>
      </c>
      <c r="I713" s="3">
        <f>Sales[[#This Row],[Turnover]]*1000/Sales[[#This Row],[Quantity]]</f>
        <v>600</v>
      </c>
      <c r="J713" s="5">
        <f>Sales[[#This Row],[Quantity]]/SUM(Sales[Quantity])</f>
        <v>6.3533439464431255E-4</v>
      </c>
    </row>
    <row r="714" spans="1:10" x14ac:dyDescent="0.25">
      <c r="A714" t="s">
        <v>27</v>
      </c>
      <c r="B714" t="s">
        <v>23</v>
      </c>
      <c r="C714" t="s">
        <v>2</v>
      </c>
      <c r="D714">
        <v>2020</v>
      </c>
      <c r="E714">
        <v>348</v>
      </c>
      <c r="F714">
        <v>209</v>
      </c>
      <c r="G714">
        <v>203</v>
      </c>
      <c r="H714">
        <f>Sales[[#This Row],[Turnover]]-Sales[[#This Row],[Cost]]</f>
        <v>6</v>
      </c>
      <c r="I714" s="3">
        <f>Sales[[#This Row],[Turnover]]*1000/Sales[[#This Row],[Quantity]]</f>
        <v>600.57471264367814</v>
      </c>
      <c r="J714" s="5">
        <f>Sales[[#This Row],[Quantity]]/SUM(Sales[Quantity])</f>
        <v>6.3170391238920223E-4</v>
      </c>
    </row>
    <row r="715" spans="1:10" x14ac:dyDescent="0.25">
      <c r="A715" t="s">
        <v>27</v>
      </c>
      <c r="B715" t="s">
        <v>23</v>
      </c>
      <c r="C715" t="s">
        <v>3</v>
      </c>
      <c r="D715">
        <v>2020</v>
      </c>
      <c r="E715">
        <v>323</v>
      </c>
      <c r="F715">
        <v>195</v>
      </c>
      <c r="G715">
        <v>188</v>
      </c>
      <c r="H715">
        <f>Sales[[#This Row],[Turnover]]-Sales[[#This Row],[Cost]]</f>
        <v>7</v>
      </c>
      <c r="I715" s="3">
        <f>Sales[[#This Row],[Turnover]]*1000/Sales[[#This Row],[Quantity]]</f>
        <v>603.71517027863774</v>
      </c>
      <c r="J715" s="5">
        <f>Sales[[#This Row],[Quantity]]/SUM(Sales[Quantity])</f>
        <v>5.8632288420032278E-4</v>
      </c>
    </row>
    <row r="716" spans="1:10" x14ac:dyDescent="0.25">
      <c r="A716" t="s">
        <v>27</v>
      </c>
      <c r="B716" t="s">
        <v>23</v>
      </c>
      <c r="C716" t="s">
        <v>18</v>
      </c>
      <c r="D716">
        <v>2020</v>
      </c>
      <c r="E716">
        <v>275</v>
      </c>
      <c r="F716">
        <v>164</v>
      </c>
      <c r="G716">
        <v>160</v>
      </c>
      <c r="H716">
        <f>Sales[[#This Row],[Turnover]]-Sales[[#This Row],[Cost]]</f>
        <v>4</v>
      </c>
      <c r="I716" s="3">
        <f>Sales[[#This Row],[Turnover]]*1000/Sales[[#This Row],[Quantity]]</f>
        <v>596.36363636363637</v>
      </c>
      <c r="J716" s="5">
        <f>Sales[[#This Row],[Quantity]]/SUM(Sales[Quantity])</f>
        <v>4.9919131007767422E-4</v>
      </c>
    </row>
    <row r="717" spans="1:10" x14ac:dyDescent="0.25">
      <c r="A717" t="s">
        <v>27</v>
      </c>
      <c r="B717" t="s">
        <v>23</v>
      </c>
      <c r="C717" t="s">
        <v>4</v>
      </c>
      <c r="D717">
        <v>2020</v>
      </c>
      <c r="E717">
        <v>308</v>
      </c>
      <c r="F717">
        <v>186</v>
      </c>
      <c r="G717">
        <v>179</v>
      </c>
      <c r="H717">
        <f>Sales[[#This Row],[Turnover]]-Sales[[#This Row],[Cost]]</f>
        <v>7</v>
      </c>
      <c r="I717" s="3">
        <f>Sales[[#This Row],[Turnover]]*1000/Sales[[#This Row],[Quantity]]</f>
        <v>603.89610389610391</v>
      </c>
      <c r="J717" s="5">
        <f>Sales[[#This Row],[Quantity]]/SUM(Sales[Quantity])</f>
        <v>5.5909426728699505E-4</v>
      </c>
    </row>
    <row r="718" spans="1:10" x14ac:dyDescent="0.25">
      <c r="A718" t="s">
        <v>27</v>
      </c>
      <c r="B718" t="s">
        <v>23</v>
      </c>
      <c r="C718" t="s">
        <v>19</v>
      </c>
      <c r="D718">
        <v>2020</v>
      </c>
      <c r="E718">
        <v>287</v>
      </c>
      <c r="F718">
        <v>172</v>
      </c>
      <c r="G718">
        <v>167</v>
      </c>
      <c r="H718">
        <f>Sales[[#This Row],[Turnover]]-Sales[[#This Row],[Cost]]</f>
        <v>5</v>
      </c>
      <c r="I718" s="3">
        <f>Sales[[#This Row],[Turnover]]*1000/Sales[[#This Row],[Quantity]]</f>
        <v>599.30313588850174</v>
      </c>
      <c r="J718" s="5">
        <f>Sales[[#This Row],[Quantity]]/SUM(Sales[Quantity])</f>
        <v>5.2097420360833636E-4</v>
      </c>
    </row>
    <row r="719" spans="1:10" x14ac:dyDescent="0.25">
      <c r="A719" t="s">
        <v>28</v>
      </c>
      <c r="B719" t="s">
        <v>23</v>
      </c>
      <c r="C719" t="s">
        <v>12</v>
      </c>
      <c r="D719">
        <v>2020</v>
      </c>
      <c r="E719">
        <v>342</v>
      </c>
      <c r="F719">
        <v>239</v>
      </c>
      <c r="G719">
        <v>206</v>
      </c>
      <c r="H719">
        <f>Sales[[#This Row],[Turnover]]-Sales[[#This Row],[Cost]]</f>
        <v>33</v>
      </c>
      <c r="I719" s="3">
        <f>Sales[[#This Row],[Turnover]]*1000/Sales[[#This Row],[Quantity]]</f>
        <v>698.83040935672511</v>
      </c>
      <c r="J719" s="5">
        <f>Sales[[#This Row],[Quantity]]/SUM(Sales[Quantity])</f>
        <v>6.2081246562387116E-4</v>
      </c>
    </row>
    <row r="720" spans="1:10" x14ac:dyDescent="0.25">
      <c r="A720" t="s">
        <v>28</v>
      </c>
      <c r="B720" t="s">
        <v>23</v>
      </c>
      <c r="C720" t="s">
        <v>13</v>
      </c>
      <c r="D720">
        <v>2020</v>
      </c>
      <c r="E720">
        <v>340</v>
      </c>
      <c r="F720">
        <v>240</v>
      </c>
      <c r="G720">
        <v>205</v>
      </c>
      <c r="H720">
        <f>Sales[[#This Row],[Turnover]]-Sales[[#This Row],[Cost]]</f>
        <v>35</v>
      </c>
      <c r="I720" s="3">
        <f>Sales[[#This Row],[Turnover]]*1000/Sales[[#This Row],[Quantity]]</f>
        <v>705.88235294117646</v>
      </c>
      <c r="J720" s="5">
        <f>Sales[[#This Row],[Quantity]]/SUM(Sales[Quantity])</f>
        <v>6.1718198336876084E-4</v>
      </c>
    </row>
    <row r="721" spans="1:10" x14ac:dyDescent="0.25">
      <c r="A721" t="s">
        <v>28</v>
      </c>
      <c r="B721" t="s">
        <v>23</v>
      </c>
      <c r="C721" t="s">
        <v>16</v>
      </c>
      <c r="D721">
        <v>2020</v>
      </c>
      <c r="E721">
        <v>370</v>
      </c>
      <c r="F721">
        <v>261</v>
      </c>
      <c r="G721">
        <v>223</v>
      </c>
      <c r="H721">
        <f>Sales[[#This Row],[Turnover]]-Sales[[#This Row],[Cost]]</f>
        <v>38</v>
      </c>
      <c r="I721" s="3">
        <f>Sales[[#This Row],[Turnover]]*1000/Sales[[#This Row],[Quantity]]</f>
        <v>705.40540540540542</v>
      </c>
      <c r="J721" s="5">
        <f>Sales[[#This Row],[Quantity]]/SUM(Sales[Quantity])</f>
        <v>6.7163921719541619E-4</v>
      </c>
    </row>
    <row r="722" spans="1:10" x14ac:dyDescent="0.25">
      <c r="A722" t="s">
        <v>28</v>
      </c>
      <c r="B722" t="s">
        <v>23</v>
      </c>
      <c r="C722" t="s">
        <v>1</v>
      </c>
      <c r="D722">
        <v>2020</v>
      </c>
      <c r="E722">
        <v>331</v>
      </c>
      <c r="F722">
        <v>232</v>
      </c>
      <c r="G722">
        <v>199</v>
      </c>
      <c r="H722">
        <f>Sales[[#This Row],[Turnover]]-Sales[[#This Row],[Cost]]</f>
        <v>33</v>
      </c>
      <c r="I722" s="3">
        <f>Sales[[#This Row],[Turnover]]*1000/Sales[[#This Row],[Quantity]]</f>
        <v>700.90634441087616</v>
      </c>
      <c r="J722" s="5">
        <f>Sales[[#This Row],[Quantity]]/SUM(Sales[Quantity])</f>
        <v>6.0084481322076418E-4</v>
      </c>
    </row>
    <row r="723" spans="1:10" x14ac:dyDescent="0.25">
      <c r="A723" t="s">
        <v>28</v>
      </c>
      <c r="B723" t="s">
        <v>23</v>
      </c>
      <c r="C723" t="s">
        <v>17</v>
      </c>
      <c r="D723">
        <v>2020</v>
      </c>
      <c r="E723">
        <v>327</v>
      </c>
      <c r="F723">
        <v>230</v>
      </c>
      <c r="G723">
        <v>197</v>
      </c>
      <c r="H723">
        <f>Sales[[#This Row],[Turnover]]-Sales[[#This Row],[Cost]]</f>
        <v>33</v>
      </c>
      <c r="I723" s="3">
        <f>Sales[[#This Row],[Turnover]]*1000/Sales[[#This Row],[Quantity]]</f>
        <v>703.36391437308873</v>
      </c>
      <c r="J723" s="5">
        <f>Sales[[#This Row],[Quantity]]/SUM(Sales[Quantity])</f>
        <v>5.9358384871054343E-4</v>
      </c>
    </row>
    <row r="724" spans="1:10" x14ac:dyDescent="0.25">
      <c r="A724" t="s">
        <v>28</v>
      </c>
      <c r="B724" t="s">
        <v>23</v>
      </c>
      <c r="C724" t="s">
        <v>15</v>
      </c>
      <c r="D724">
        <v>2020</v>
      </c>
      <c r="E724">
        <v>317</v>
      </c>
      <c r="F724">
        <v>224</v>
      </c>
      <c r="G724">
        <v>191</v>
      </c>
      <c r="H724">
        <f>Sales[[#This Row],[Turnover]]-Sales[[#This Row],[Cost]]</f>
        <v>33</v>
      </c>
      <c r="I724" s="3">
        <f>Sales[[#This Row],[Turnover]]*1000/Sales[[#This Row],[Quantity]]</f>
        <v>706.62460567823348</v>
      </c>
      <c r="J724" s="5">
        <f>Sales[[#This Row],[Quantity]]/SUM(Sales[Quantity])</f>
        <v>5.7543143743499171E-4</v>
      </c>
    </row>
    <row r="725" spans="1:10" x14ac:dyDescent="0.25">
      <c r="A725" t="s">
        <v>28</v>
      </c>
      <c r="B725" t="s">
        <v>23</v>
      </c>
      <c r="C725" t="s">
        <v>14</v>
      </c>
      <c r="D725">
        <v>2020</v>
      </c>
      <c r="E725">
        <v>354</v>
      </c>
      <c r="F725">
        <v>249</v>
      </c>
      <c r="G725">
        <v>213</v>
      </c>
      <c r="H725">
        <f>Sales[[#This Row],[Turnover]]-Sales[[#This Row],[Cost]]</f>
        <v>36</v>
      </c>
      <c r="I725" s="3">
        <f>Sales[[#This Row],[Turnover]]*1000/Sales[[#This Row],[Quantity]]</f>
        <v>703.38983050847457</v>
      </c>
      <c r="J725" s="5">
        <f>Sales[[#This Row],[Quantity]]/SUM(Sales[Quantity])</f>
        <v>6.425953591545333E-4</v>
      </c>
    </row>
    <row r="726" spans="1:10" x14ac:dyDescent="0.25">
      <c r="A726" t="s">
        <v>28</v>
      </c>
      <c r="B726" t="s">
        <v>23</v>
      </c>
      <c r="C726" t="s">
        <v>2</v>
      </c>
      <c r="D726">
        <v>2020</v>
      </c>
      <c r="E726">
        <v>312</v>
      </c>
      <c r="F726">
        <v>217</v>
      </c>
      <c r="G726">
        <v>188</v>
      </c>
      <c r="H726">
        <f>Sales[[#This Row],[Turnover]]-Sales[[#This Row],[Cost]]</f>
        <v>29</v>
      </c>
      <c r="I726" s="3">
        <f>Sales[[#This Row],[Turnover]]*1000/Sales[[#This Row],[Quantity]]</f>
        <v>695.51282051282055</v>
      </c>
      <c r="J726" s="5">
        <f>Sales[[#This Row],[Quantity]]/SUM(Sales[Quantity])</f>
        <v>5.663552317972158E-4</v>
      </c>
    </row>
    <row r="727" spans="1:10" x14ac:dyDescent="0.25">
      <c r="A727" t="s">
        <v>28</v>
      </c>
      <c r="B727" t="s">
        <v>23</v>
      </c>
      <c r="C727" t="s">
        <v>3</v>
      </c>
      <c r="D727">
        <v>2020</v>
      </c>
      <c r="E727">
        <v>315</v>
      </c>
      <c r="F727">
        <v>220</v>
      </c>
      <c r="G727">
        <v>190</v>
      </c>
      <c r="H727">
        <f>Sales[[#This Row],[Turnover]]-Sales[[#This Row],[Cost]]</f>
        <v>30</v>
      </c>
      <c r="I727" s="3">
        <f>Sales[[#This Row],[Turnover]]*1000/Sales[[#This Row],[Quantity]]</f>
        <v>698.41269841269843</v>
      </c>
      <c r="J727" s="5">
        <f>Sales[[#This Row],[Quantity]]/SUM(Sales[Quantity])</f>
        <v>5.7180095517988128E-4</v>
      </c>
    </row>
    <row r="728" spans="1:10" x14ac:dyDescent="0.25">
      <c r="A728" t="s">
        <v>28</v>
      </c>
      <c r="B728" t="s">
        <v>23</v>
      </c>
      <c r="C728" t="s">
        <v>18</v>
      </c>
      <c r="D728">
        <v>2020</v>
      </c>
      <c r="E728">
        <v>337</v>
      </c>
      <c r="F728">
        <v>234</v>
      </c>
      <c r="G728">
        <v>203</v>
      </c>
      <c r="H728">
        <f>Sales[[#This Row],[Turnover]]-Sales[[#This Row],[Cost]]</f>
        <v>31</v>
      </c>
      <c r="I728" s="3">
        <f>Sales[[#This Row],[Turnover]]*1000/Sales[[#This Row],[Quantity]]</f>
        <v>694.36201780415433</v>
      </c>
      <c r="J728" s="5">
        <f>Sales[[#This Row],[Quantity]]/SUM(Sales[Quantity])</f>
        <v>6.1173625998609525E-4</v>
      </c>
    </row>
    <row r="729" spans="1:10" x14ac:dyDescent="0.25">
      <c r="A729" t="s">
        <v>28</v>
      </c>
      <c r="B729" t="s">
        <v>23</v>
      </c>
      <c r="C729" t="s">
        <v>4</v>
      </c>
      <c r="D729">
        <v>2020</v>
      </c>
      <c r="E729">
        <v>365</v>
      </c>
      <c r="F729">
        <v>254</v>
      </c>
      <c r="G729">
        <v>220</v>
      </c>
      <c r="H729">
        <f>Sales[[#This Row],[Turnover]]-Sales[[#This Row],[Cost]]</f>
        <v>34</v>
      </c>
      <c r="I729" s="3">
        <f>Sales[[#This Row],[Turnover]]*1000/Sales[[#This Row],[Quantity]]</f>
        <v>695.89041095890411</v>
      </c>
      <c r="J729" s="5">
        <f>Sales[[#This Row],[Quantity]]/SUM(Sales[Quantity])</f>
        <v>6.6256301155764028E-4</v>
      </c>
    </row>
    <row r="730" spans="1:10" x14ac:dyDescent="0.25">
      <c r="A730" t="s">
        <v>28</v>
      </c>
      <c r="B730" t="s">
        <v>23</v>
      </c>
      <c r="C730" t="s">
        <v>19</v>
      </c>
      <c r="D730">
        <v>2020</v>
      </c>
      <c r="E730">
        <v>358</v>
      </c>
      <c r="F730">
        <v>252</v>
      </c>
      <c r="G730">
        <v>215</v>
      </c>
      <c r="H730">
        <f>Sales[[#This Row],[Turnover]]-Sales[[#This Row],[Cost]]</f>
        <v>37</v>
      </c>
      <c r="I730" s="3">
        <f>Sales[[#This Row],[Turnover]]*1000/Sales[[#This Row],[Quantity]]</f>
        <v>703.91061452513964</v>
      </c>
      <c r="J730" s="5">
        <f>Sales[[#This Row],[Quantity]]/SUM(Sales[Quantity])</f>
        <v>6.4985632366475405E-4</v>
      </c>
    </row>
    <row r="731" spans="1:10" x14ac:dyDescent="0.25">
      <c r="A731" t="s">
        <v>29</v>
      </c>
      <c r="B731" t="s">
        <v>23</v>
      </c>
      <c r="C731" t="s">
        <v>12</v>
      </c>
      <c r="D731">
        <v>2020</v>
      </c>
      <c r="E731">
        <v>99</v>
      </c>
      <c r="F731">
        <v>893</v>
      </c>
      <c r="G731">
        <v>319</v>
      </c>
      <c r="H731">
        <f>Sales[[#This Row],[Turnover]]-Sales[[#This Row],[Cost]]</f>
        <v>574</v>
      </c>
      <c r="I731" s="3">
        <f>Sales[[#This Row],[Turnover]]*1000/Sales[[#This Row],[Quantity]]</f>
        <v>9020.2020202020194</v>
      </c>
      <c r="J731" s="5">
        <f>Sales[[#This Row],[Quantity]]/SUM(Sales[Quantity])</f>
        <v>1.797088716279627E-4</v>
      </c>
    </row>
    <row r="732" spans="1:10" x14ac:dyDescent="0.25">
      <c r="A732" t="s">
        <v>29</v>
      </c>
      <c r="B732" t="s">
        <v>23</v>
      </c>
      <c r="C732" t="s">
        <v>13</v>
      </c>
      <c r="D732">
        <v>2020</v>
      </c>
      <c r="E732">
        <v>130</v>
      </c>
      <c r="F732">
        <v>1175</v>
      </c>
      <c r="G732">
        <v>420</v>
      </c>
      <c r="H732">
        <f>Sales[[#This Row],[Turnover]]-Sales[[#This Row],[Cost]]</f>
        <v>755</v>
      </c>
      <c r="I732" s="3">
        <f>Sales[[#This Row],[Turnover]]*1000/Sales[[#This Row],[Quantity]]</f>
        <v>9038.461538461539</v>
      </c>
      <c r="J732" s="5">
        <f>Sales[[#This Row],[Quantity]]/SUM(Sales[Quantity])</f>
        <v>2.3598134658217324E-4</v>
      </c>
    </row>
    <row r="733" spans="1:10" x14ac:dyDescent="0.25">
      <c r="A733" t="s">
        <v>29</v>
      </c>
      <c r="B733" t="s">
        <v>23</v>
      </c>
      <c r="C733" t="s">
        <v>16</v>
      </c>
      <c r="D733">
        <v>2020</v>
      </c>
      <c r="E733">
        <v>127</v>
      </c>
      <c r="F733">
        <v>1148</v>
      </c>
      <c r="G733">
        <v>410</v>
      </c>
      <c r="H733">
        <f>Sales[[#This Row],[Turnover]]-Sales[[#This Row],[Cost]]</f>
        <v>738</v>
      </c>
      <c r="I733" s="3">
        <f>Sales[[#This Row],[Turnover]]*1000/Sales[[#This Row],[Quantity]]</f>
        <v>9039.3700787401576</v>
      </c>
      <c r="J733" s="5">
        <f>Sales[[#This Row],[Quantity]]/SUM(Sales[Quantity])</f>
        <v>2.3053562319950771E-4</v>
      </c>
    </row>
    <row r="734" spans="1:10" x14ac:dyDescent="0.25">
      <c r="A734" t="s">
        <v>29</v>
      </c>
      <c r="B734" t="s">
        <v>23</v>
      </c>
      <c r="C734" t="s">
        <v>1</v>
      </c>
      <c r="D734">
        <v>2020</v>
      </c>
      <c r="E734">
        <v>139</v>
      </c>
      <c r="F734">
        <v>1114</v>
      </c>
      <c r="G734">
        <v>449</v>
      </c>
      <c r="H734">
        <f>Sales[[#This Row],[Turnover]]-Sales[[#This Row],[Cost]]</f>
        <v>665</v>
      </c>
      <c r="I734" s="3">
        <f>Sales[[#This Row],[Turnover]]*1000/Sales[[#This Row],[Quantity]]</f>
        <v>8014.3884892086335</v>
      </c>
      <c r="J734" s="5">
        <f>Sales[[#This Row],[Quantity]]/SUM(Sales[Quantity])</f>
        <v>2.5231851673016985E-4</v>
      </c>
    </row>
    <row r="735" spans="1:10" x14ac:dyDescent="0.25">
      <c r="A735" t="s">
        <v>29</v>
      </c>
      <c r="B735" t="s">
        <v>23</v>
      </c>
      <c r="C735" t="s">
        <v>17</v>
      </c>
      <c r="D735">
        <v>2020</v>
      </c>
      <c r="E735">
        <v>157</v>
      </c>
      <c r="F735">
        <v>1255</v>
      </c>
      <c r="G735">
        <v>506</v>
      </c>
      <c r="H735">
        <f>Sales[[#This Row],[Turnover]]-Sales[[#This Row],[Cost]]</f>
        <v>749</v>
      </c>
      <c r="I735" s="3">
        <f>Sales[[#This Row],[Turnover]]*1000/Sales[[#This Row],[Quantity]]</f>
        <v>7993.6305732484079</v>
      </c>
      <c r="J735" s="5">
        <f>Sales[[#This Row],[Quantity]]/SUM(Sales[Quantity])</f>
        <v>2.8499285702616306E-4</v>
      </c>
    </row>
    <row r="736" spans="1:10" x14ac:dyDescent="0.25">
      <c r="A736" t="s">
        <v>29</v>
      </c>
      <c r="B736" t="s">
        <v>23</v>
      </c>
      <c r="C736" t="s">
        <v>15</v>
      </c>
      <c r="D736">
        <v>2020</v>
      </c>
      <c r="E736">
        <v>184</v>
      </c>
      <c r="F736">
        <v>1482</v>
      </c>
      <c r="G736">
        <v>594</v>
      </c>
      <c r="H736">
        <f>Sales[[#This Row],[Turnover]]-Sales[[#This Row],[Cost]]</f>
        <v>888</v>
      </c>
      <c r="I736" s="3">
        <f>Sales[[#This Row],[Turnover]]*1000/Sales[[#This Row],[Quantity]]</f>
        <v>8054.347826086957</v>
      </c>
      <c r="J736" s="5">
        <f>Sales[[#This Row],[Quantity]]/SUM(Sales[Quantity])</f>
        <v>3.3400436747015288E-4</v>
      </c>
    </row>
    <row r="737" spans="1:10" x14ac:dyDescent="0.25">
      <c r="A737" t="s">
        <v>29</v>
      </c>
      <c r="B737" t="s">
        <v>23</v>
      </c>
      <c r="C737" t="s">
        <v>14</v>
      </c>
      <c r="D737">
        <v>2020</v>
      </c>
      <c r="E737">
        <v>152</v>
      </c>
      <c r="F737">
        <v>1222</v>
      </c>
      <c r="G737">
        <v>492</v>
      </c>
      <c r="H737">
        <f>Sales[[#This Row],[Turnover]]-Sales[[#This Row],[Cost]]</f>
        <v>730</v>
      </c>
      <c r="I737" s="3">
        <f>Sales[[#This Row],[Turnover]]*1000/Sales[[#This Row],[Quantity]]</f>
        <v>8039.4736842105267</v>
      </c>
      <c r="J737" s="5">
        <f>Sales[[#This Row],[Quantity]]/SUM(Sales[Quantity])</f>
        <v>2.7591665138838715E-4</v>
      </c>
    </row>
    <row r="738" spans="1:10" x14ac:dyDescent="0.25">
      <c r="A738" t="s">
        <v>29</v>
      </c>
      <c r="B738" t="s">
        <v>23</v>
      </c>
      <c r="C738" t="s">
        <v>2</v>
      </c>
      <c r="D738">
        <v>2020</v>
      </c>
      <c r="E738">
        <v>187</v>
      </c>
      <c r="F738">
        <v>1482</v>
      </c>
      <c r="G738">
        <v>605</v>
      </c>
      <c r="H738">
        <f>Sales[[#This Row],[Turnover]]-Sales[[#This Row],[Cost]]</f>
        <v>877</v>
      </c>
      <c r="I738" s="3">
        <f>Sales[[#This Row],[Turnover]]*1000/Sales[[#This Row],[Quantity]]</f>
        <v>7925.1336898395721</v>
      </c>
      <c r="J738" s="5">
        <f>Sales[[#This Row],[Quantity]]/SUM(Sales[Quantity])</f>
        <v>3.3945009085281842E-4</v>
      </c>
    </row>
    <row r="739" spans="1:10" x14ac:dyDescent="0.25">
      <c r="A739" t="s">
        <v>29</v>
      </c>
      <c r="B739" t="s">
        <v>23</v>
      </c>
      <c r="C739" t="s">
        <v>3</v>
      </c>
      <c r="D739">
        <v>2020</v>
      </c>
      <c r="E739">
        <v>157</v>
      </c>
      <c r="F739">
        <v>1257</v>
      </c>
      <c r="G739">
        <v>509</v>
      </c>
      <c r="H739">
        <f>Sales[[#This Row],[Turnover]]-Sales[[#This Row],[Cost]]</f>
        <v>748</v>
      </c>
      <c r="I739" s="3">
        <f>Sales[[#This Row],[Turnover]]*1000/Sales[[#This Row],[Quantity]]</f>
        <v>8006.3694267515921</v>
      </c>
      <c r="J739" s="5">
        <f>Sales[[#This Row],[Quantity]]/SUM(Sales[Quantity])</f>
        <v>2.8499285702616306E-4</v>
      </c>
    </row>
    <row r="740" spans="1:10" x14ac:dyDescent="0.25">
      <c r="A740" t="s">
        <v>29</v>
      </c>
      <c r="B740" t="s">
        <v>23</v>
      </c>
      <c r="C740" t="s">
        <v>18</v>
      </c>
      <c r="D740">
        <v>2020</v>
      </c>
      <c r="E740">
        <v>192</v>
      </c>
      <c r="F740">
        <v>1545</v>
      </c>
      <c r="G740">
        <v>621</v>
      </c>
      <c r="H740">
        <f>Sales[[#This Row],[Turnover]]-Sales[[#This Row],[Cost]]</f>
        <v>924</v>
      </c>
      <c r="I740" s="3">
        <f>Sales[[#This Row],[Turnover]]*1000/Sales[[#This Row],[Quantity]]</f>
        <v>8046.875</v>
      </c>
      <c r="J740" s="5">
        <f>Sales[[#This Row],[Quantity]]/SUM(Sales[Quantity])</f>
        <v>3.4852629649059433E-4</v>
      </c>
    </row>
    <row r="741" spans="1:10" x14ac:dyDescent="0.25">
      <c r="A741" t="s">
        <v>29</v>
      </c>
      <c r="B741" t="s">
        <v>23</v>
      </c>
      <c r="C741" t="s">
        <v>4</v>
      </c>
      <c r="D741">
        <v>2020</v>
      </c>
      <c r="E741">
        <v>152</v>
      </c>
      <c r="F741">
        <v>1213</v>
      </c>
      <c r="G741">
        <v>490</v>
      </c>
      <c r="H741">
        <f>Sales[[#This Row],[Turnover]]-Sales[[#This Row],[Cost]]</f>
        <v>723</v>
      </c>
      <c r="I741" s="3">
        <f>Sales[[#This Row],[Turnover]]*1000/Sales[[#This Row],[Quantity]]</f>
        <v>7980.2631578947367</v>
      </c>
      <c r="J741" s="5">
        <f>Sales[[#This Row],[Quantity]]/SUM(Sales[Quantity])</f>
        <v>2.7591665138838715E-4</v>
      </c>
    </row>
    <row r="742" spans="1:10" x14ac:dyDescent="0.25">
      <c r="A742" t="s">
        <v>29</v>
      </c>
      <c r="B742" t="s">
        <v>23</v>
      </c>
      <c r="C742" t="s">
        <v>19</v>
      </c>
      <c r="D742">
        <v>2020</v>
      </c>
      <c r="E742">
        <v>193</v>
      </c>
      <c r="F742">
        <v>1539</v>
      </c>
      <c r="G742">
        <v>623</v>
      </c>
      <c r="H742">
        <f>Sales[[#This Row],[Turnover]]-Sales[[#This Row],[Cost]]</f>
        <v>916</v>
      </c>
      <c r="I742" s="3">
        <f>Sales[[#This Row],[Turnover]]*1000/Sales[[#This Row],[Quantity]]</f>
        <v>7974.0932642487051</v>
      </c>
      <c r="J742" s="5">
        <f>Sales[[#This Row],[Quantity]]/SUM(Sales[Quantity])</f>
        <v>3.5034153761814949E-4</v>
      </c>
    </row>
    <row r="743" spans="1:10" x14ac:dyDescent="0.25">
      <c r="A743" t="s">
        <v>30</v>
      </c>
      <c r="B743" t="s">
        <v>23</v>
      </c>
      <c r="C743" t="s">
        <v>13</v>
      </c>
      <c r="D743">
        <v>2020</v>
      </c>
      <c r="E743">
        <v>148</v>
      </c>
      <c r="F743">
        <v>443</v>
      </c>
      <c r="G743">
        <v>228</v>
      </c>
      <c r="H743">
        <f>Sales[[#This Row],[Turnover]]-Sales[[#This Row],[Cost]]</f>
        <v>215</v>
      </c>
      <c r="I743" s="3">
        <f>Sales[[#This Row],[Turnover]]*1000/Sales[[#This Row],[Quantity]]</f>
        <v>2993.2432432432433</v>
      </c>
      <c r="J743" s="5">
        <f>Sales[[#This Row],[Quantity]]/SUM(Sales[Quantity])</f>
        <v>2.6865568687816645E-4</v>
      </c>
    </row>
    <row r="744" spans="1:10" x14ac:dyDescent="0.25">
      <c r="A744" t="s">
        <v>30</v>
      </c>
      <c r="B744" t="s">
        <v>23</v>
      </c>
      <c r="C744" t="s">
        <v>16</v>
      </c>
      <c r="D744">
        <v>2020</v>
      </c>
      <c r="E744">
        <v>194</v>
      </c>
      <c r="F744">
        <v>574</v>
      </c>
      <c r="G744">
        <v>298</v>
      </c>
      <c r="H744">
        <f>Sales[[#This Row],[Turnover]]-Sales[[#This Row],[Cost]]</f>
        <v>276</v>
      </c>
      <c r="I744" s="3">
        <f>Sales[[#This Row],[Turnover]]*1000/Sales[[#This Row],[Quantity]]</f>
        <v>2958.7628865979382</v>
      </c>
      <c r="J744" s="5">
        <f>Sales[[#This Row],[Quantity]]/SUM(Sales[Quantity])</f>
        <v>3.521567787457047E-4</v>
      </c>
    </row>
    <row r="745" spans="1:10" x14ac:dyDescent="0.25">
      <c r="A745" t="s">
        <v>30</v>
      </c>
      <c r="B745" t="s">
        <v>23</v>
      </c>
      <c r="C745" t="s">
        <v>1</v>
      </c>
      <c r="D745">
        <v>2020</v>
      </c>
      <c r="E745">
        <v>196</v>
      </c>
      <c r="F745">
        <v>588</v>
      </c>
      <c r="G745">
        <v>301</v>
      </c>
      <c r="H745">
        <f>Sales[[#This Row],[Turnover]]-Sales[[#This Row],[Cost]]</f>
        <v>287</v>
      </c>
      <c r="I745" s="3">
        <f>Sales[[#This Row],[Turnover]]*1000/Sales[[#This Row],[Quantity]]</f>
        <v>3000</v>
      </c>
      <c r="J745" s="5">
        <f>Sales[[#This Row],[Quantity]]/SUM(Sales[Quantity])</f>
        <v>3.5578726100081502E-4</v>
      </c>
    </row>
    <row r="746" spans="1:10" x14ac:dyDescent="0.25">
      <c r="A746" t="s">
        <v>30</v>
      </c>
      <c r="B746" t="s">
        <v>23</v>
      </c>
      <c r="C746" t="s">
        <v>17</v>
      </c>
      <c r="D746">
        <v>2020</v>
      </c>
      <c r="E746">
        <v>191</v>
      </c>
      <c r="F746">
        <v>576</v>
      </c>
      <c r="G746">
        <v>295</v>
      </c>
      <c r="H746">
        <f>Sales[[#This Row],[Turnover]]-Sales[[#This Row],[Cost]]</f>
        <v>281</v>
      </c>
      <c r="I746" s="3">
        <f>Sales[[#This Row],[Turnover]]*1000/Sales[[#This Row],[Quantity]]</f>
        <v>3015.7068062827225</v>
      </c>
      <c r="J746" s="5">
        <f>Sales[[#This Row],[Quantity]]/SUM(Sales[Quantity])</f>
        <v>3.4671105536303917E-4</v>
      </c>
    </row>
    <row r="747" spans="1:10" x14ac:dyDescent="0.25">
      <c r="A747" t="s">
        <v>30</v>
      </c>
      <c r="B747" t="s">
        <v>23</v>
      </c>
      <c r="C747" t="s">
        <v>15</v>
      </c>
      <c r="D747">
        <v>2020</v>
      </c>
      <c r="E747">
        <v>166</v>
      </c>
      <c r="F747">
        <v>495</v>
      </c>
      <c r="G747">
        <v>256</v>
      </c>
      <c r="H747">
        <f>Sales[[#This Row],[Turnover]]-Sales[[#This Row],[Cost]]</f>
        <v>239</v>
      </c>
      <c r="I747" s="3">
        <f>Sales[[#This Row],[Turnover]]*1000/Sales[[#This Row],[Quantity]]</f>
        <v>2981.9277108433735</v>
      </c>
      <c r="J747" s="5">
        <f>Sales[[#This Row],[Quantity]]/SUM(Sales[Quantity])</f>
        <v>3.0133002717415967E-4</v>
      </c>
    </row>
    <row r="748" spans="1:10" x14ac:dyDescent="0.25">
      <c r="A748" t="s">
        <v>30</v>
      </c>
      <c r="B748" t="s">
        <v>23</v>
      </c>
      <c r="C748" t="s">
        <v>14</v>
      </c>
      <c r="D748">
        <v>2020</v>
      </c>
      <c r="E748">
        <v>219</v>
      </c>
      <c r="F748">
        <v>597</v>
      </c>
      <c r="G748">
        <v>337</v>
      </c>
      <c r="H748">
        <f>Sales[[#This Row],[Turnover]]-Sales[[#This Row],[Cost]]</f>
        <v>260</v>
      </c>
      <c r="I748" s="3">
        <f>Sales[[#This Row],[Turnover]]*1000/Sales[[#This Row],[Quantity]]</f>
        <v>2726.027397260274</v>
      </c>
      <c r="J748" s="5">
        <f>Sales[[#This Row],[Quantity]]/SUM(Sales[Quantity])</f>
        <v>3.9753780693458415E-4</v>
      </c>
    </row>
    <row r="749" spans="1:10" x14ac:dyDescent="0.25">
      <c r="A749" t="s">
        <v>30</v>
      </c>
      <c r="B749" t="s">
        <v>23</v>
      </c>
      <c r="C749" t="s">
        <v>2</v>
      </c>
      <c r="D749">
        <v>2020</v>
      </c>
      <c r="E749">
        <v>220</v>
      </c>
      <c r="F749">
        <v>601</v>
      </c>
      <c r="G749">
        <v>339</v>
      </c>
      <c r="H749">
        <f>Sales[[#This Row],[Turnover]]-Sales[[#This Row],[Cost]]</f>
        <v>262</v>
      </c>
      <c r="I749" s="3">
        <f>Sales[[#This Row],[Turnover]]*1000/Sales[[#This Row],[Quantity]]</f>
        <v>2731.818181818182</v>
      </c>
      <c r="J749" s="5">
        <f>Sales[[#This Row],[Quantity]]/SUM(Sales[Quantity])</f>
        <v>3.9935304806213936E-4</v>
      </c>
    </row>
    <row r="750" spans="1:10" x14ac:dyDescent="0.25">
      <c r="A750" t="s">
        <v>30</v>
      </c>
      <c r="B750" t="s">
        <v>23</v>
      </c>
      <c r="C750" t="s">
        <v>3</v>
      </c>
      <c r="D750">
        <v>2020</v>
      </c>
      <c r="E750">
        <v>235</v>
      </c>
      <c r="F750">
        <v>642</v>
      </c>
      <c r="G750">
        <v>362</v>
      </c>
      <c r="H750">
        <f>Sales[[#This Row],[Turnover]]-Sales[[#This Row],[Cost]]</f>
        <v>280</v>
      </c>
      <c r="I750" s="3">
        <f>Sales[[#This Row],[Turnover]]*1000/Sales[[#This Row],[Quantity]]</f>
        <v>2731.9148936170213</v>
      </c>
      <c r="J750" s="5">
        <f>Sales[[#This Row],[Quantity]]/SUM(Sales[Quantity])</f>
        <v>4.2658166497546704E-4</v>
      </c>
    </row>
    <row r="751" spans="1:10" x14ac:dyDescent="0.25">
      <c r="A751" t="s">
        <v>30</v>
      </c>
      <c r="B751" t="s">
        <v>23</v>
      </c>
      <c r="C751" t="s">
        <v>18</v>
      </c>
      <c r="D751">
        <v>2020</v>
      </c>
      <c r="E751">
        <v>247</v>
      </c>
      <c r="F751">
        <v>678</v>
      </c>
      <c r="G751">
        <v>381</v>
      </c>
      <c r="H751">
        <f>Sales[[#This Row],[Turnover]]-Sales[[#This Row],[Cost]]</f>
        <v>297</v>
      </c>
      <c r="I751" s="3">
        <f>Sales[[#This Row],[Turnover]]*1000/Sales[[#This Row],[Quantity]]</f>
        <v>2744.9392712550607</v>
      </c>
      <c r="J751" s="5">
        <f>Sales[[#This Row],[Quantity]]/SUM(Sales[Quantity])</f>
        <v>4.4836455850612918E-4</v>
      </c>
    </row>
    <row r="752" spans="1:10" x14ac:dyDescent="0.25">
      <c r="A752" t="s">
        <v>30</v>
      </c>
      <c r="B752" t="s">
        <v>23</v>
      </c>
      <c r="C752" t="s">
        <v>4</v>
      </c>
      <c r="D752">
        <v>2020</v>
      </c>
      <c r="E752">
        <v>196</v>
      </c>
      <c r="F752">
        <v>542</v>
      </c>
      <c r="G752">
        <v>302</v>
      </c>
      <c r="H752">
        <f>Sales[[#This Row],[Turnover]]-Sales[[#This Row],[Cost]]</f>
        <v>240</v>
      </c>
      <c r="I752" s="3">
        <f>Sales[[#This Row],[Turnover]]*1000/Sales[[#This Row],[Quantity]]</f>
        <v>2765.3061224489797</v>
      </c>
      <c r="J752" s="5">
        <f>Sales[[#This Row],[Quantity]]/SUM(Sales[Quantity])</f>
        <v>3.5578726100081502E-4</v>
      </c>
    </row>
    <row r="753" spans="1:10" x14ac:dyDescent="0.25">
      <c r="A753" t="s">
        <v>30</v>
      </c>
      <c r="B753" t="s">
        <v>23</v>
      </c>
      <c r="C753" t="s">
        <v>19</v>
      </c>
      <c r="D753">
        <v>2020</v>
      </c>
      <c r="E753">
        <v>175</v>
      </c>
      <c r="F753">
        <v>479</v>
      </c>
      <c r="G753">
        <v>269</v>
      </c>
      <c r="H753">
        <f>Sales[[#This Row],[Turnover]]-Sales[[#This Row],[Cost]]</f>
        <v>210</v>
      </c>
      <c r="I753" s="3">
        <f>Sales[[#This Row],[Turnover]]*1000/Sales[[#This Row],[Quantity]]</f>
        <v>2737.1428571428573</v>
      </c>
      <c r="J753" s="5">
        <f>Sales[[#This Row],[Quantity]]/SUM(Sales[Quantity])</f>
        <v>3.1766719732215627E-4</v>
      </c>
    </row>
    <row r="754" spans="1:10" x14ac:dyDescent="0.25">
      <c r="A754" t="s">
        <v>26</v>
      </c>
      <c r="B754" t="s">
        <v>23</v>
      </c>
      <c r="C754" t="s">
        <v>17</v>
      </c>
      <c r="D754">
        <v>2020</v>
      </c>
      <c r="E754">
        <v>284</v>
      </c>
      <c r="F754">
        <v>797</v>
      </c>
      <c r="G754">
        <v>344</v>
      </c>
      <c r="H754">
        <f>Sales[[#This Row],[Turnover]]-Sales[[#This Row],[Cost]]</f>
        <v>453</v>
      </c>
      <c r="I754" s="3">
        <f>Sales[[#This Row],[Turnover]]*1000/Sales[[#This Row],[Quantity]]</f>
        <v>2806.3380281690143</v>
      </c>
      <c r="J754" s="5">
        <f>Sales[[#This Row],[Quantity]]/SUM(Sales[Quantity])</f>
        <v>5.1552848022567077E-4</v>
      </c>
    </row>
    <row r="755" spans="1:10" x14ac:dyDescent="0.25">
      <c r="A755" t="s">
        <v>26</v>
      </c>
      <c r="B755" t="s">
        <v>23</v>
      </c>
      <c r="C755" t="s">
        <v>15</v>
      </c>
      <c r="D755">
        <v>2020</v>
      </c>
      <c r="E755">
        <v>324</v>
      </c>
      <c r="F755">
        <v>904</v>
      </c>
      <c r="G755">
        <v>393</v>
      </c>
      <c r="H755">
        <f>Sales[[#This Row],[Turnover]]-Sales[[#This Row],[Cost]]</f>
        <v>511</v>
      </c>
      <c r="I755" s="3">
        <f>Sales[[#This Row],[Turnover]]*1000/Sales[[#This Row],[Quantity]]</f>
        <v>2790.1234567901233</v>
      </c>
      <c r="J755" s="5">
        <f>Sales[[#This Row],[Quantity]]/SUM(Sales[Quantity])</f>
        <v>5.8813812532787794E-4</v>
      </c>
    </row>
    <row r="756" spans="1:10" x14ac:dyDescent="0.25">
      <c r="A756" t="s">
        <v>26</v>
      </c>
      <c r="B756" t="s">
        <v>23</v>
      </c>
      <c r="C756" t="s">
        <v>14</v>
      </c>
      <c r="D756">
        <v>2020</v>
      </c>
      <c r="E756">
        <v>284</v>
      </c>
      <c r="F756">
        <v>795</v>
      </c>
      <c r="G756">
        <v>344</v>
      </c>
      <c r="H756">
        <f>Sales[[#This Row],[Turnover]]-Sales[[#This Row],[Cost]]</f>
        <v>451</v>
      </c>
      <c r="I756" s="3">
        <f>Sales[[#This Row],[Turnover]]*1000/Sales[[#This Row],[Quantity]]</f>
        <v>2799.2957746478874</v>
      </c>
      <c r="J756" s="5">
        <f>Sales[[#This Row],[Quantity]]/SUM(Sales[Quantity])</f>
        <v>5.1552848022567077E-4</v>
      </c>
    </row>
    <row r="757" spans="1:10" x14ac:dyDescent="0.25">
      <c r="A757" t="s">
        <v>26</v>
      </c>
      <c r="B757" t="s">
        <v>23</v>
      </c>
      <c r="C757" t="s">
        <v>2</v>
      </c>
      <c r="D757">
        <v>2020</v>
      </c>
      <c r="E757">
        <v>310</v>
      </c>
      <c r="F757">
        <v>863</v>
      </c>
      <c r="G757">
        <v>376</v>
      </c>
      <c r="H757">
        <f>Sales[[#This Row],[Turnover]]-Sales[[#This Row],[Cost]]</f>
        <v>487</v>
      </c>
      <c r="I757" s="3">
        <f>Sales[[#This Row],[Turnover]]*1000/Sales[[#This Row],[Quantity]]</f>
        <v>2783.8709677419356</v>
      </c>
      <c r="J757" s="5">
        <f>Sales[[#This Row],[Quantity]]/SUM(Sales[Quantity])</f>
        <v>5.6272474954210537E-4</v>
      </c>
    </row>
    <row r="758" spans="1:10" x14ac:dyDescent="0.25">
      <c r="A758" t="s">
        <v>26</v>
      </c>
      <c r="B758" t="s">
        <v>23</v>
      </c>
      <c r="C758" t="s">
        <v>3</v>
      </c>
      <c r="D758">
        <v>2020</v>
      </c>
      <c r="E758">
        <v>304</v>
      </c>
      <c r="F758">
        <v>859</v>
      </c>
      <c r="G758">
        <v>368</v>
      </c>
      <c r="H758">
        <f>Sales[[#This Row],[Turnover]]-Sales[[#This Row],[Cost]]</f>
        <v>491</v>
      </c>
      <c r="I758" s="3">
        <f>Sales[[#This Row],[Turnover]]*1000/Sales[[#This Row],[Quantity]]</f>
        <v>2825.6578947368421</v>
      </c>
      <c r="J758" s="5">
        <f>Sales[[#This Row],[Quantity]]/SUM(Sales[Quantity])</f>
        <v>5.518333027767743E-4</v>
      </c>
    </row>
    <row r="759" spans="1:10" x14ac:dyDescent="0.25">
      <c r="A759" t="s">
        <v>26</v>
      </c>
      <c r="B759" t="s">
        <v>23</v>
      </c>
      <c r="C759" t="s">
        <v>18</v>
      </c>
      <c r="D759">
        <v>2020</v>
      </c>
      <c r="E759">
        <v>273</v>
      </c>
      <c r="F759">
        <v>766</v>
      </c>
      <c r="G759">
        <v>331</v>
      </c>
      <c r="H759">
        <f>Sales[[#This Row],[Turnover]]-Sales[[#This Row],[Cost]]</f>
        <v>435</v>
      </c>
      <c r="I759" s="3">
        <f>Sales[[#This Row],[Turnover]]*1000/Sales[[#This Row],[Quantity]]</f>
        <v>2805.8608058608061</v>
      </c>
      <c r="J759" s="5">
        <f>Sales[[#This Row],[Quantity]]/SUM(Sales[Quantity])</f>
        <v>4.9556082782256379E-4</v>
      </c>
    </row>
    <row r="760" spans="1:10" x14ac:dyDescent="0.25">
      <c r="A760" t="s">
        <v>26</v>
      </c>
      <c r="B760" t="s">
        <v>23</v>
      </c>
      <c r="C760" t="s">
        <v>4</v>
      </c>
      <c r="D760">
        <v>2020</v>
      </c>
      <c r="E760">
        <v>322</v>
      </c>
      <c r="F760">
        <v>909</v>
      </c>
      <c r="G760">
        <v>390</v>
      </c>
      <c r="H760">
        <f>Sales[[#This Row],[Turnover]]-Sales[[#This Row],[Cost]]</f>
        <v>519</v>
      </c>
      <c r="I760" s="3">
        <f>Sales[[#This Row],[Turnover]]*1000/Sales[[#This Row],[Quantity]]</f>
        <v>2822.9813664596272</v>
      </c>
      <c r="J760" s="5">
        <f>Sales[[#This Row],[Quantity]]/SUM(Sales[Quantity])</f>
        <v>5.8450764307276762E-4</v>
      </c>
    </row>
    <row r="761" spans="1:10" x14ac:dyDescent="0.25">
      <c r="A761" t="s">
        <v>26</v>
      </c>
      <c r="B761" t="s">
        <v>23</v>
      </c>
      <c r="C761" t="s">
        <v>19</v>
      </c>
      <c r="D761">
        <v>2020</v>
      </c>
      <c r="E761">
        <v>292</v>
      </c>
      <c r="F761">
        <v>818</v>
      </c>
      <c r="G761">
        <v>354</v>
      </c>
      <c r="H761">
        <f>Sales[[#This Row],[Turnover]]-Sales[[#This Row],[Cost]]</f>
        <v>464</v>
      </c>
      <c r="I761" s="3">
        <f>Sales[[#This Row],[Turnover]]*1000/Sales[[#This Row],[Quantity]]</f>
        <v>2801.3698630136987</v>
      </c>
      <c r="J761" s="5">
        <f>Sales[[#This Row],[Quantity]]/SUM(Sales[Quantity])</f>
        <v>5.3005040924611216E-4</v>
      </c>
    </row>
    <row r="762" spans="1:10" x14ac:dyDescent="0.25">
      <c r="A762" t="s">
        <v>27</v>
      </c>
      <c r="B762" t="s">
        <v>24</v>
      </c>
      <c r="C762" t="s">
        <v>12</v>
      </c>
      <c r="D762">
        <v>2018</v>
      </c>
      <c r="E762">
        <v>290</v>
      </c>
      <c r="F762">
        <v>433</v>
      </c>
      <c r="G762">
        <v>169</v>
      </c>
      <c r="H762">
        <f>Sales[[#This Row],[Turnover]]-Sales[[#This Row],[Cost]]</f>
        <v>264</v>
      </c>
      <c r="I762" s="3">
        <f>Sales[[#This Row],[Turnover]]*1000/Sales[[#This Row],[Quantity]]</f>
        <v>1493.1034482758621</v>
      </c>
      <c r="J762" s="5">
        <f>Sales[[#This Row],[Quantity]]/SUM(Sales[Quantity])</f>
        <v>5.2641992699100184E-4</v>
      </c>
    </row>
    <row r="763" spans="1:10" x14ac:dyDescent="0.25">
      <c r="A763" t="s">
        <v>27</v>
      </c>
      <c r="B763" t="s">
        <v>24</v>
      </c>
      <c r="C763" t="s">
        <v>13</v>
      </c>
      <c r="D763">
        <v>2018</v>
      </c>
      <c r="E763">
        <v>326</v>
      </c>
      <c r="F763">
        <v>488</v>
      </c>
      <c r="G763">
        <v>190</v>
      </c>
      <c r="H763">
        <f>Sales[[#This Row],[Turnover]]-Sales[[#This Row],[Cost]]</f>
        <v>298</v>
      </c>
      <c r="I763" s="3">
        <f>Sales[[#This Row],[Turnover]]*1000/Sales[[#This Row],[Quantity]]</f>
        <v>1496.9325153374234</v>
      </c>
      <c r="J763" s="5">
        <f>Sales[[#This Row],[Quantity]]/SUM(Sales[Quantity])</f>
        <v>5.9176860758298826E-4</v>
      </c>
    </row>
    <row r="764" spans="1:10" x14ac:dyDescent="0.25">
      <c r="A764" t="s">
        <v>27</v>
      </c>
      <c r="B764" t="s">
        <v>24</v>
      </c>
      <c r="C764" t="s">
        <v>16</v>
      </c>
      <c r="D764">
        <v>2018</v>
      </c>
      <c r="E764">
        <v>488</v>
      </c>
      <c r="F764">
        <v>725</v>
      </c>
      <c r="G764">
        <v>284</v>
      </c>
      <c r="H764">
        <f>Sales[[#This Row],[Turnover]]-Sales[[#This Row],[Cost]]</f>
        <v>441</v>
      </c>
      <c r="I764" s="3">
        <f>Sales[[#This Row],[Turnover]]*1000/Sales[[#This Row],[Quantity]]</f>
        <v>1485.655737704918</v>
      </c>
      <c r="J764" s="5">
        <f>Sales[[#This Row],[Quantity]]/SUM(Sales[Quantity])</f>
        <v>8.8583767024692729E-4</v>
      </c>
    </row>
    <row r="765" spans="1:10" x14ac:dyDescent="0.25">
      <c r="A765" t="s">
        <v>27</v>
      </c>
      <c r="B765" t="s">
        <v>24</v>
      </c>
      <c r="C765" t="s">
        <v>1</v>
      </c>
      <c r="D765">
        <v>2018</v>
      </c>
      <c r="E765">
        <v>521</v>
      </c>
      <c r="F765">
        <v>780</v>
      </c>
      <c r="G765">
        <v>303</v>
      </c>
      <c r="H765">
        <f>Sales[[#This Row],[Turnover]]-Sales[[#This Row],[Cost]]</f>
        <v>477</v>
      </c>
      <c r="I765" s="3">
        <f>Sales[[#This Row],[Turnover]]*1000/Sales[[#This Row],[Quantity]]</f>
        <v>1497.1209213051823</v>
      </c>
      <c r="J765" s="5">
        <f>Sales[[#This Row],[Quantity]]/SUM(Sales[Quantity])</f>
        <v>9.4574062745624813E-4</v>
      </c>
    </row>
    <row r="766" spans="1:10" x14ac:dyDescent="0.25">
      <c r="A766" t="s">
        <v>27</v>
      </c>
      <c r="B766" t="s">
        <v>24</v>
      </c>
      <c r="C766" t="s">
        <v>17</v>
      </c>
      <c r="D766">
        <v>2018</v>
      </c>
      <c r="E766">
        <v>451</v>
      </c>
      <c r="F766">
        <v>676</v>
      </c>
      <c r="G766">
        <v>262</v>
      </c>
      <c r="H766">
        <f>Sales[[#This Row],[Turnover]]-Sales[[#This Row],[Cost]]</f>
        <v>414</v>
      </c>
      <c r="I766" s="3">
        <f>Sales[[#This Row],[Turnover]]*1000/Sales[[#This Row],[Quantity]]</f>
        <v>1498.8913525498892</v>
      </c>
      <c r="J766" s="5">
        <f>Sales[[#This Row],[Quantity]]/SUM(Sales[Quantity])</f>
        <v>8.186737485273856E-4</v>
      </c>
    </row>
    <row r="767" spans="1:10" x14ac:dyDescent="0.25">
      <c r="A767" t="s">
        <v>27</v>
      </c>
      <c r="B767" t="s">
        <v>24</v>
      </c>
      <c r="C767" t="s">
        <v>15</v>
      </c>
      <c r="D767">
        <v>2018</v>
      </c>
      <c r="E767">
        <v>379</v>
      </c>
      <c r="F767">
        <v>568</v>
      </c>
      <c r="G767">
        <v>221</v>
      </c>
      <c r="H767">
        <f>Sales[[#This Row],[Turnover]]-Sales[[#This Row],[Cost]]</f>
        <v>347</v>
      </c>
      <c r="I767" s="3">
        <f>Sales[[#This Row],[Turnover]]*1000/Sales[[#This Row],[Quantity]]</f>
        <v>1498.6807387862798</v>
      </c>
      <c r="J767" s="5">
        <f>Sales[[#This Row],[Quantity]]/SUM(Sales[Quantity])</f>
        <v>6.8797638734341274E-4</v>
      </c>
    </row>
    <row r="768" spans="1:10" x14ac:dyDescent="0.25">
      <c r="A768" t="s">
        <v>27</v>
      </c>
      <c r="B768" t="s">
        <v>24</v>
      </c>
      <c r="C768" t="s">
        <v>14</v>
      </c>
      <c r="D768">
        <v>2018</v>
      </c>
      <c r="E768">
        <v>502</v>
      </c>
      <c r="F768">
        <v>449</v>
      </c>
      <c r="G768">
        <v>292</v>
      </c>
      <c r="H768">
        <f>Sales[[#This Row],[Turnover]]-Sales[[#This Row],[Cost]]</f>
        <v>157</v>
      </c>
      <c r="I768" s="3">
        <f>Sales[[#This Row],[Turnover]]*1000/Sales[[#This Row],[Quantity]]</f>
        <v>894.42231075697214</v>
      </c>
      <c r="J768" s="5">
        <f>Sales[[#This Row],[Quantity]]/SUM(Sales[Quantity])</f>
        <v>9.1125104603269975E-4</v>
      </c>
    </row>
    <row r="769" spans="1:10" x14ac:dyDescent="0.25">
      <c r="A769" t="s">
        <v>27</v>
      </c>
      <c r="B769" t="s">
        <v>24</v>
      </c>
      <c r="C769" t="s">
        <v>2</v>
      </c>
      <c r="D769">
        <v>2018</v>
      </c>
      <c r="E769">
        <v>433</v>
      </c>
      <c r="F769">
        <v>390</v>
      </c>
      <c r="G769">
        <v>252</v>
      </c>
      <c r="H769">
        <f>Sales[[#This Row],[Turnover]]-Sales[[#This Row],[Cost]]</f>
        <v>138</v>
      </c>
      <c r="I769" s="3">
        <f>Sales[[#This Row],[Turnover]]*1000/Sales[[#This Row],[Quantity]]</f>
        <v>900.69284064665123</v>
      </c>
      <c r="J769" s="5">
        <f>Sales[[#This Row],[Quantity]]/SUM(Sales[Quantity])</f>
        <v>7.8599940823139238E-4</v>
      </c>
    </row>
    <row r="770" spans="1:10" x14ac:dyDescent="0.25">
      <c r="A770" t="s">
        <v>27</v>
      </c>
      <c r="B770" t="s">
        <v>24</v>
      </c>
      <c r="C770" t="s">
        <v>3</v>
      </c>
      <c r="D770">
        <v>2018</v>
      </c>
      <c r="E770">
        <v>487</v>
      </c>
      <c r="F770">
        <v>440</v>
      </c>
      <c r="G770">
        <v>283</v>
      </c>
      <c r="H770">
        <f>Sales[[#This Row],[Turnover]]-Sales[[#This Row],[Cost]]</f>
        <v>157</v>
      </c>
      <c r="I770" s="3">
        <f>Sales[[#This Row],[Turnover]]*1000/Sales[[#This Row],[Quantity]]</f>
        <v>903.49075975359347</v>
      </c>
      <c r="J770" s="5">
        <f>Sales[[#This Row],[Quantity]]/SUM(Sales[Quantity])</f>
        <v>8.8402242911937202E-4</v>
      </c>
    </row>
    <row r="771" spans="1:10" x14ac:dyDescent="0.25">
      <c r="A771" t="s">
        <v>27</v>
      </c>
      <c r="B771" t="s">
        <v>24</v>
      </c>
      <c r="C771" t="s">
        <v>18</v>
      </c>
      <c r="D771">
        <v>2018</v>
      </c>
      <c r="E771">
        <v>404</v>
      </c>
      <c r="F771">
        <v>361</v>
      </c>
      <c r="G771">
        <v>235</v>
      </c>
      <c r="H771">
        <f>Sales[[#This Row],[Turnover]]-Sales[[#This Row],[Cost]]</f>
        <v>126</v>
      </c>
      <c r="I771" s="3">
        <f>Sales[[#This Row],[Turnover]]*1000/Sales[[#This Row],[Quantity]]</f>
        <v>893.56435643564362</v>
      </c>
      <c r="J771" s="5">
        <f>Sales[[#This Row],[Quantity]]/SUM(Sales[Quantity])</f>
        <v>7.3335741553229219E-4</v>
      </c>
    </row>
    <row r="772" spans="1:10" x14ac:dyDescent="0.25">
      <c r="A772" t="s">
        <v>27</v>
      </c>
      <c r="B772" t="s">
        <v>24</v>
      </c>
      <c r="C772" t="s">
        <v>4</v>
      </c>
      <c r="D772">
        <v>2018</v>
      </c>
      <c r="E772">
        <v>407</v>
      </c>
      <c r="F772">
        <v>369</v>
      </c>
      <c r="G772">
        <v>237</v>
      </c>
      <c r="H772">
        <f>Sales[[#This Row],[Turnover]]-Sales[[#This Row],[Cost]]</f>
        <v>132</v>
      </c>
      <c r="I772" s="3">
        <f>Sales[[#This Row],[Turnover]]*1000/Sales[[#This Row],[Quantity]]</f>
        <v>906.63390663390669</v>
      </c>
      <c r="J772" s="5">
        <f>Sales[[#This Row],[Quantity]]/SUM(Sales[Quantity])</f>
        <v>7.3880313891495778E-4</v>
      </c>
    </row>
    <row r="773" spans="1:10" x14ac:dyDescent="0.25">
      <c r="A773" t="s">
        <v>27</v>
      </c>
      <c r="B773" t="s">
        <v>24</v>
      </c>
      <c r="C773" t="s">
        <v>19</v>
      </c>
      <c r="D773">
        <v>2018</v>
      </c>
      <c r="E773">
        <v>680</v>
      </c>
      <c r="F773">
        <v>478</v>
      </c>
      <c r="G773">
        <v>396</v>
      </c>
      <c r="H773">
        <f>Sales[[#This Row],[Turnover]]-Sales[[#This Row],[Cost]]</f>
        <v>82</v>
      </c>
      <c r="I773" s="3">
        <f>Sales[[#This Row],[Turnover]]*1000/Sales[[#This Row],[Quantity]]</f>
        <v>702.94117647058829</v>
      </c>
      <c r="J773" s="5">
        <f>Sales[[#This Row],[Quantity]]/SUM(Sales[Quantity])</f>
        <v>1.2343639667375217E-3</v>
      </c>
    </row>
    <row r="774" spans="1:10" x14ac:dyDescent="0.25">
      <c r="A774" t="s">
        <v>28</v>
      </c>
      <c r="B774" t="s">
        <v>24</v>
      </c>
      <c r="C774" t="s">
        <v>12</v>
      </c>
      <c r="D774">
        <v>2018</v>
      </c>
      <c r="E774">
        <v>179</v>
      </c>
      <c r="F774">
        <v>314</v>
      </c>
      <c r="G774">
        <v>0</v>
      </c>
      <c r="H774">
        <f>Sales[[#This Row],[Turnover]]-Sales[[#This Row],[Cost]]</f>
        <v>314</v>
      </c>
      <c r="I774" s="3">
        <f>Sales[[#This Row],[Turnover]]*1000/Sales[[#This Row],[Quantity]]</f>
        <v>1754.1899441340781</v>
      </c>
      <c r="J774" s="5">
        <f>Sales[[#This Row],[Quantity]]/SUM(Sales[Quantity])</f>
        <v>3.2492816183237702E-4</v>
      </c>
    </row>
    <row r="775" spans="1:10" x14ac:dyDescent="0.25">
      <c r="A775" t="s">
        <v>28</v>
      </c>
      <c r="B775" t="s">
        <v>24</v>
      </c>
      <c r="C775" t="s">
        <v>13</v>
      </c>
      <c r="D775">
        <v>2018</v>
      </c>
      <c r="E775">
        <v>267</v>
      </c>
      <c r="F775">
        <v>469</v>
      </c>
      <c r="G775">
        <v>0</v>
      </c>
      <c r="H775">
        <f>Sales[[#This Row],[Turnover]]-Sales[[#This Row],[Cost]]</f>
        <v>469</v>
      </c>
      <c r="I775" s="3">
        <f>Sales[[#This Row],[Turnover]]*1000/Sales[[#This Row],[Quantity]]</f>
        <v>1756.5543071161048</v>
      </c>
      <c r="J775" s="5">
        <f>Sales[[#This Row],[Quantity]]/SUM(Sales[Quantity])</f>
        <v>4.8466938105723271E-4</v>
      </c>
    </row>
    <row r="776" spans="1:10" x14ac:dyDescent="0.25">
      <c r="A776" t="s">
        <v>28</v>
      </c>
      <c r="B776" t="s">
        <v>24</v>
      </c>
      <c r="C776" t="s">
        <v>16</v>
      </c>
      <c r="D776">
        <v>2018</v>
      </c>
      <c r="E776">
        <v>312</v>
      </c>
      <c r="F776">
        <v>544</v>
      </c>
      <c r="G776">
        <v>0</v>
      </c>
      <c r="H776">
        <f>Sales[[#This Row],[Turnover]]-Sales[[#This Row],[Cost]]</f>
        <v>544</v>
      </c>
      <c r="I776" s="3">
        <f>Sales[[#This Row],[Turnover]]*1000/Sales[[#This Row],[Quantity]]</f>
        <v>1743.5897435897436</v>
      </c>
      <c r="J776" s="5">
        <f>Sales[[#This Row],[Quantity]]/SUM(Sales[Quantity])</f>
        <v>5.663552317972158E-4</v>
      </c>
    </row>
    <row r="777" spans="1:10" x14ac:dyDescent="0.25">
      <c r="A777" t="s">
        <v>28</v>
      </c>
      <c r="B777" t="s">
        <v>24</v>
      </c>
      <c r="C777" t="s">
        <v>1</v>
      </c>
      <c r="D777">
        <v>2018</v>
      </c>
      <c r="E777">
        <v>275</v>
      </c>
      <c r="F777">
        <v>485</v>
      </c>
      <c r="G777">
        <v>0</v>
      </c>
      <c r="H777">
        <f>Sales[[#This Row],[Turnover]]-Sales[[#This Row],[Cost]]</f>
        <v>485</v>
      </c>
      <c r="I777" s="3">
        <f>Sales[[#This Row],[Turnover]]*1000/Sales[[#This Row],[Quantity]]</f>
        <v>1763.6363636363637</v>
      </c>
      <c r="J777" s="5">
        <f>Sales[[#This Row],[Quantity]]/SUM(Sales[Quantity])</f>
        <v>4.9919131007767422E-4</v>
      </c>
    </row>
    <row r="778" spans="1:10" x14ac:dyDescent="0.25">
      <c r="A778" t="s">
        <v>28</v>
      </c>
      <c r="B778" t="s">
        <v>24</v>
      </c>
      <c r="C778" t="s">
        <v>17</v>
      </c>
      <c r="D778">
        <v>2018</v>
      </c>
      <c r="E778">
        <v>241</v>
      </c>
      <c r="F778">
        <v>421</v>
      </c>
      <c r="G778">
        <v>0</v>
      </c>
      <c r="H778">
        <f>Sales[[#This Row],[Turnover]]-Sales[[#This Row],[Cost]]</f>
        <v>421</v>
      </c>
      <c r="I778" s="3">
        <f>Sales[[#This Row],[Turnover]]*1000/Sales[[#This Row],[Quantity]]</f>
        <v>1746.8879668049792</v>
      </c>
      <c r="J778" s="5">
        <f>Sales[[#This Row],[Quantity]]/SUM(Sales[Quantity])</f>
        <v>4.3747311174079811E-4</v>
      </c>
    </row>
    <row r="779" spans="1:10" x14ac:dyDescent="0.25">
      <c r="A779" t="s">
        <v>28</v>
      </c>
      <c r="B779" t="s">
        <v>24</v>
      </c>
      <c r="C779" t="s">
        <v>15</v>
      </c>
      <c r="D779">
        <v>2018</v>
      </c>
      <c r="E779">
        <v>232</v>
      </c>
      <c r="F779">
        <v>408</v>
      </c>
      <c r="G779">
        <v>0</v>
      </c>
      <c r="H779">
        <f>Sales[[#This Row],[Turnover]]-Sales[[#This Row],[Cost]]</f>
        <v>408</v>
      </c>
      <c r="I779" s="3">
        <f>Sales[[#This Row],[Turnover]]*1000/Sales[[#This Row],[Quantity]]</f>
        <v>1758.6206896551723</v>
      </c>
      <c r="J779" s="5">
        <f>Sales[[#This Row],[Quantity]]/SUM(Sales[Quantity])</f>
        <v>4.211359415928015E-4</v>
      </c>
    </row>
    <row r="780" spans="1:10" x14ac:dyDescent="0.25">
      <c r="A780" t="s">
        <v>28</v>
      </c>
      <c r="B780" t="s">
        <v>24</v>
      </c>
      <c r="C780" t="s">
        <v>14</v>
      </c>
      <c r="D780">
        <v>2018</v>
      </c>
      <c r="E780">
        <v>431</v>
      </c>
      <c r="F780">
        <v>520</v>
      </c>
      <c r="G780">
        <v>260</v>
      </c>
      <c r="H780">
        <f>Sales[[#This Row],[Turnover]]-Sales[[#This Row],[Cost]]</f>
        <v>260</v>
      </c>
      <c r="I780" s="3">
        <f>Sales[[#This Row],[Turnover]]*1000/Sales[[#This Row],[Quantity]]</f>
        <v>1206.4965197215777</v>
      </c>
      <c r="J780" s="5">
        <f>Sales[[#This Row],[Quantity]]/SUM(Sales[Quantity])</f>
        <v>7.8236892597628206E-4</v>
      </c>
    </row>
    <row r="781" spans="1:10" x14ac:dyDescent="0.25">
      <c r="A781" t="s">
        <v>28</v>
      </c>
      <c r="B781" t="s">
        <v>24</v>
      </c>
      <c r="C781" t="s">
        <v>2</v>
      </c>
      <c r="D781">
        <v>2018</v>
      </c>
      <c r="E781">
        <v>414</v>
      </c>
      <c r="F781">
        <v>498</v>
      </c>
      <c r="G781">
        <v>249</v>
      </c>
      <c r="H781">
        <f>Sales[[#This Row],[Turnover]]-Sales[[#This Row],[Cost]]</f>
        <v>249</v>
      </c>
      <c r="I781" s="3">
        <f>Sales[[#This Row],[Turnover]]*1000/Sales[[#This Row],[Quantity]]</f>
        <v>1202.8985507246377</v>
      </c>
      <c r="J781" s="5">
        <f>Sales[[#This Row],[Quantity]]/SUM(Sales[Quantity])</f>
        <v>7.5150982680784401E-4</v>
      </c>
    </row>
    <row r="782" spans="1:10" x14ac:dyDescent="0.25">
      <c r="A782" t="s">
        <v>28</v>
      </c>
      <c r="B782" t="s">
        <v>24</v>
      </c>
      <c r="C782" t="s">
        <v>3</v>
      </c>
      <c r="D782">
        <v>2018</v>
      </c>
      <c r="E782">
        <v>404</v>
      </c>
      <c r="F782">
        <v>487</v>
      </c>
      <c r="G782">
        <v>243</v>
      </c>
      <c r="H782">
        <f>Sales[[#This Row],[Turnover]]-Sales[[#This Row],[Cost]]</f>
        <v>244</v>
      </c>
      <c r="I782" s="3">
        <f>Sales[[#This Row],[Turnover]]*1000/Sales[[#This Row],[Quantity]]</f>
        <v>1205.4455445544554</v>
      </c>
      <c r="J782" s="5">
        <f>Sales[[#This Row],[Quantity]]/SUM(Sales[Quantity])</f>
        <v>7.3335741553229219E-4</v>
      </c>
    </row>
    <row r="783" spans="1:10" x14ac:dyDescent="0.25">
      <c r="A783" t="s">
        <v>28</v>
      </c>
      <c r="B783" t="s">
        <v>24</v>
      </c>
      <c r="C783" t="s">
        <v>18</v>
      </c>
      <c r="D783">
        <v>2018</v>
      </c>
      <c r="E783">
        <v>389</v>
      </c>
      <c r="F783">
        <v>463</v>
      </c>
      <c r="G783">
        <v>234</v>
      </c>
      <c r="H783">
        <f>Sales[[#This Row],[Turnover]]-Sales[[#This Row],[Cost]]</f>
        <v>229</v>
      </c>
      <c r="I783" s="3">
        <f>Sales[[#This Row],[Turnover]]*1000/Sales[[#This Row],[Quantity]]</f>
        <v>1190.2313624678663</v>
      </c>
      <c r="J783" s="5">
        <f>Sales[[#This Row],[Quantity]]/SUM(Sales[Quantity])</f>
        <v>7.0612879861896456E-4</v>
      </c>
    </row>
    <row r="784" spans="1:10" x14ac:dyDescent="0.25">
      <c r="A784" t="s">
        <v>28</v>
      </c>
      <c r="B784" t="s">
        <v>24</v>
      </c>
      <c r="C784" t="s">
        <v>4</v>
      </c>
      <c r="D784">
        <v>2018</v>
      </c>
      <c r="E784">
        <v>352</v>
      </c>
      <c r="F784">
        <v>421</v>
      </c>
      <c r="G784">
        <v>212</v>
      </c>
      <c r="H784">
        <f>Sales[[#This Row],[Turnover]]-Sales[[#This Row],[Cost]]</f>
        <v>209</v>
      </c>
      <c r="I784" s="3">
        <f>Sales[[#This Row],[Turnover]]*1000/Sales[[#This Row],[Quantity]]</f>
        <v>1196.0227272727273</v>
      </c>
      <c r="J784" s="5">
        <f>Sales[[#This Row],[Quantity]]/SUM(Sales[Quantity])</f>
        <v>6.3896487689942298E-4</v>
      </c>
    </row>
    <row r="785" spans="1:10" x14ac:dyDescent="0.25">
      <c r="A785" t="s">
        <v>28</v>
      </c>
      <c r="B785" t="s">
        <v>24</v>
      </c>
      <c r="C785" t="s">
        <v>19</v>
      </c>
      <c r="D785">
        <v>2018</v>
      </c>
      <c r="E785">
        <v>378</v>
      </c>
      <c r="F785">
        <v>301</v>
      </c>
      <c r="G785">
        <v>228</v>
      </c>
      <c r="H785">
        <f>Sales[[#This Row],[Turnover]]-Sales[[#This Row],[Cost]]</f>
        <v>73</v>
      </c>
      <c r="I785" s="3">
        <f>Sales[[#This Row],[Turnover]]*1000/Sales[[#This Row],[Quantity]]</f>
        <v>796.2962962962963</v>
      </c>
      <c r="J785" s="5">
        <f>Sales[[#This Row],[Quantity]]/SUM(Sales[Quantity])</f>
        <v>6.8616114621585758E-4</v>
      </c>
    </row>
    <row r="786" spans="1:10" x14ac:dyDescent="0.25">
      <c r="A786" t="s">
        <v>30</v>
      </c>
      <c r="B786" t="s">
        <v>24</v>
      </c>
      <c r="C786" t="s">
        <v>12</v>
      </c>
      <c r="D786">
        <v>2018</v>
      </c>
      <c r="E786">
        <v>490</v>
      </c>
      <c r="F786">
        <v>959</v>
      </c>
      <c r="G786">
        <v>593</v>
      </c>
      <c r="H786">
        <f>Sales[[#This Row],[Turnover]]-Sales[[#This Row],[Cost]]</f>
        <v>366</v>
      </c>
      <c r="I786" s="3">
        <f>Sales[[#This Row],[Turnover]]*1000/Sales[[#This Row],[Quantity]]</f>
        <v>1957.1428571428571</v>
      </c>
      <c r="J786" s="5">
        <f>Sales[[#This Row],[Quantity]]/SUM(Sales[Quantity])</f>
        <v>8.8946815250203761E-4</v>
      </c>
    </row>
    <row r="787" spans="1:10" x14ac:dyDescent="0.25">
      <c r="A787" t="s">
        <v>30</v>
      </c>
      <c r="B787" t="s">
        <v>24</v>
      </c>
      <c r="C787" t="s">
        <v>13</v>
      </c>
      <c r="D787">
        <v>2018</v>
      </c>
      <c r="E787">
        <v>456</v>
      </c>
      <c r="F787">
        <v>880</v>
      </c>
      <c r="G787">
        <v>552</v>
      </c>
      <c r="H787">
        <f>Sales[[#This Row],[Turnover]]-Sales[[#This Row],[Cost]]</f>
        <v>328</v>
      </c>
      <c r="I787" s="3">
        <f>Sales[[#This Row],[Turnover]]*1000/Sales[[#This Row],[Quantity]]</f>
        <v>1929.8245614035088</v>
      </c>
      <c r="J787" s="5">
        <f>Sales[[#This Row],[Quantity]]/SUM(Sales[Quantity])</f>
        <v>8.2774995416516151E-4</v>
      </c>
    </row>
    <row r="788" spans="1:10" x14ac:dyDescent="0.25">
      <c r="A788" t="s">
        <v>30</v>
      </c>
      <c r="B788" t="s">
        <v>24</v>
      </c>
      <c r="C788" t="s">
        <v>16</v>
      </c>
      <c r="D788">
        <v>2018</v>
      </c>
      <c r="E788">
        <v>492</v>
      </c>
      <c r="F788">
        <v>962</v>
      </c>
      <c r="G788">
        <v>596</v>
      </c>
      <c r="H788">
        <f>Sales[[#This Row],[Turnover]]-Sales[[#This Row],[Cost]]</f>
        <v>366</v>
      </c>
      <c r="I788" s="3">
        <f>Sales[[#This Row],[Turnover]]*1000/Sales[[#This Row],[Quantity]]</f>
        <v>1955.2845528455284</v>
      </c>
      <c r="J788" s="5">
        <f>Sales[[#This Row],[Quantity]]/SUM(Sales[Quantity])</f>
        <v>8.9309863475714793E-4</v>
      </c>
    </row>
    <row r="789" spans="1:10" x14ac:dyDescent="0.25">
      <c r="A789" t="s">
        <v>30</v>
      </c>
      <c r="B789" t="s">
        <v>24</v>
      </c>
      <c r="C789" t="s">
        <v>1</v>
      </c>
      <c r="D789">
        <v>2018</v>
      </c>
      <c r="E789">
        <v>520</v>
      </c>
      <c r="F789">
        <v>1012</v>
      </c>
      <c r="G789">
        <v>630</v>
      </c>
      <c r="H789">
        <f>Sales[[#This Row],[Turnover]]-Sales[[#This Row],[Cost]]</f>
        <v>382</v>
      </c>
      <c r="I789" s="3">
        <f>Sales[[#This Row],[Turnover]]*1000/Sales[[#This Row],[Quantity]]</f>
        <v>1946.1538461538462</v>
      </c>
      <c r="J789" s="5">
        <f>Sales[[#This Row],[Quantity]]/SUM(Sales[Quantity])</f>
        <v>9.4392538632869297E-4</v>
      </c>
    </row>
    <row r="790" spans="1:10" x14ac:dyDescent="0.25">
      <c r="A790" t="s">
        <v>30</v>
      </c>
      <c r="B790" t="s">
        <v>24</v>
      </c>
      <c r="C790" t="s">
        <v>17</v>
      </c>
      <c r="D790">
        <v>2018</v>
      </c>
      <c r="E790">
        <v>488</v>
      </c>
      <c r="F790">
        <v>950</v>
      </c>
      <c r="G790">
        <v>592</v>
      </c>
      <c r="H790">
        <f>Sales[[#This Row],[Turnover]]-Sales[[#This Row],[Cost]]</f>
        <v>358</v>
      </c>
      <c r="I790" s="3">
        <f>Sales[[#This Row],[Turnover]]*1000/Sales[[#This Row],[Quantity]]</f>
        <v>1946.7213114754099</v>
      </c>
      <c r="J790" s="5">
        <f>Sales[[#This Row],[Quantity]]/SUM(Sales[Quantity])</f>
        <v>8.8583767024692729E-4</v>
      </c>
    </row>
    <row r="791" spans="1:10" x14ac:dyDescent="0.25">
      <c r="A791" t="s">
        <v>30</v>
      </c>
      <c r="B791" t="s">
        <v>24</v>
      </c>
      <c r="C791" t="s">
        <v>15</v>
      </c>
      <c r="D791">
        <v>2018</v>
      </c>
      <c r="E791">
        <v>476</v>
      </c>
      <c r="F791">
        <v>929</v>
      </c>
      <c r="G791">
        <v>577</v>
      </c>
      <c r="H791">
        <f>Sales[[#This Row],[Turnover]]-Sales[[#This Row],[Cost]]</f>
        <v>352</v>
      </c>
      <c r="I791" s="3">
        <f>Sales[[#This Row],[Turnover]]*1000/Sales[[#This Row],[Quantity]]</f>
        <v>1951.6806722689075</v>
      </c>
      <c r="J791" s="5">
        <f>Sales[[#This Row],[Quantity]]/SUM(Sales[Quantity])</f>
        <v>8.6405477671626515E-4</v>
      </c>
    </row>
    <row r="792" spans="1:10" x14ac:dyDescent="0.25">
      <c r="A792" t="s">
        <v>30</v>
      </c>
      <c r="B792" t="s">
        <v>24</v>
      </c>
      <c r="C792" t="s">
        <v>14</v>
      </c>
      <c r="D792">
        <v>2018</v>
      </c>
      <c r="E792">
        <v>443</v>
      </c>
      <c r="F792">
        <v>856</v>
      </c>
      <c r="G792">
        <v>537</v>
      </c>
      <c r="H792">
        <f>Sales[[#This Row],[Turnover]]-Sales[[#This Row],[Cost]]</f>
        <v>319</v>
      </c>
      <c r="I792" s="3">
        <f>Sales[[#This Row],[Turnover]]*1000/Sales[[#This Row],[Quantity]]</f>
        <v>1932.2799097065463</v>
      </c>
      <c r="J792" s="5">
        <f>Sales[[#This Row],[Quantity]]/SUM(Sales[Quantity])</f>
        <v>8.041518195069442E-4</v>
      </c>
    </row>
    <row r="793" spans="1:10" x14ac:dyDescent="0.25">
      <c r="A793" t="s">
        <v>30</v>
      </c>
      <c r="B793" t="s">
        <v>24</v>
      </c>
      <c r="C793" t="s">
        <v>2</v>
      </c>
      <c r="D793">
        <v>2018</v>
      </c>
      <c r="E793">
        <v>606</v>
      </c>
      <c r="F793">
        <v>904</v>
      </c>
      <c r="G793">
        <v>734</v>
      </c>
      <c r="H793">
        <f>Sales[[#This Row],[Turnover]]-Sales[[#This Row],[Cost]]</f>
        <v>170</v>
      </c>
      <c r="I793" s="3">
        <f>Sales[[#This Row],[Turnover]]*1000/Sales[[#This Row],[Quantity]]</f>
        <v>1491.7491749174917</v>
      </c>
      <c r="J793" s="5">
        <f>Sales[[#This Row],[Quantity]]/SUM(Sales[Quantity])</f>
        <v>1.1000361232984383E-3</v>
      </c>
    </row>
    <row r="794" spans="1:10" x14ac:dyDescent="0.25">
      <c r="A794" t="s">
        <v>30</v>
      </c>
      <c r="B794" t="s">
        <v>24</v>
      </c>
      <c r="C794" t="s">
        <v>3</v>
      </c>
      <c r="D794">
        <v>2018</v>
      </c>
      <c r="E794">
        <v>589</v>
      </c>
      <c r="F794">
        <v>893</v>
      </c>
      <c r="G794">
        <v>714</v>
      </c>
      <c r="H794">
        <f>Sales[[#This Row],[Turnover]]-Sales[[#This Row],[Cost]]</f>
        <v>179</v>
      </c>
      <c r="I794" s="3">
        <f>Sales[[#This Row],[Turnover]]*1000/Sales[[#This Row],[Quantity]]</f>
        <v>1516.1290322580646</v>
      </c>
      <c r="J794" s="5">
        <f>Sales[[#This Row],[Quantity]]/SUM(Sales[Quantity])</f>
        <v>1.0691770241300002E-3</v>
      </c>
    </row>
    <row r="795" spans="1:10" x14ac:dyDescent="0.25">
      <c r="A795" t="s">
        <v>30</v>
      </c>
      <c r="B795" t="s">
        <v>24</v>
      </c>
      <c r="C795" t="s">
        <v>18</v>
      </c>
      <c r="D795">
        <v>2018</v>
      </c>
      <c r="E795">
        <v>568</v>
      </c>
      <c r="F795">
        <v>847</v>
      </c>
      <c r="G795">
        <v>688</v>
      </c>
      <c r="H795">
        <f>Sales[[#This Row],[Turnover]]-Sales[[#This Row],[Cost]]</f>
        <v>159</v>
      </c>
      <c r="I795" s="3">
        <f>Sales[[#This Row],[Turnover]]*1000/Sales[[#This Row],[Quantity]]</f>
        <v>1491.1971830985915</v>
      </c>
      <c r="J795" s="5">
        <f>Sales[[#This Row],[Quantity]]/SUM(Sales[Quantity])</f>
        <v>1.0310569604513415E-3</v>
      </c>
    </row>
    <row r="796" spans="1:10" x14ac:dyDescent="0.25">
      <c r="A796" t="s">
        <v>30</v>
      </c>
      <c r="B796" t="s">
        <v>24</v>
      </c>
      <c r="C796" t="s">
        <v>4</v>
      </c>
      <c r="D796">
        <v>2018</v>
      </c>
      <c r="E796">
        <v>539</v>
      </c>
      <c r="F796">
        <v>803</v>
      </c>
      <c r="G796">
        <v>654</v>
      </c>
      <c r="H796">
        <f>Sales[[#This Row],[Turnover]]-Sales[[#This Row],[Cost]]</f>
        <v>149</v>
      </c>
      <c r="I796" s="3">
        <f>Sales[[#This Row],[Turnover]]*1000/Sales[[#This Row],[Quantity]]</f>
        <v>1489.795918367347</v>
      </c>
      <c r="J796" s="5">
        <f>Sales[[#This Row],[Quantity]]/SUM(Sales[Quantity])</f>
        <v>9.7841496775224134E-4</v>
      </c>
    </row>
    <row r="797" spans="1:10" x14ac:dyDescent="0.25">
      <c r="A797" t="s">
        <v>30</v>
      </c>
      <c r="B797" t="s">
        <v>24</v>
      </c>
      <c r="C797" t="s">
        <v>19</v>
      </c>
      <c r="D797">
        <v>2018</v>
      </c>
      <c r="E797">
        <v>394</v>
      </c>
      <c r="F797">
        <v>596</v>
      </c>
      <c r="G797">
        <v>477</v>
      </c>
      <c r="H797">
        <f>Sales[[#This Row],[Turnover]]-Sales[[#This Row],[Cost]]</f>
        <v>119</v>
      </c>
      <c r="I797" s="3">
        <f>Sales[[#This Row],[Turnover]]*1000/Sales[[#This Row],[Quantity]]</f>
        <v>1512.6903553299492</v>
      </c>
      <c r="J797" s="5">
        <f>Sales[[#This Row],[Quantity]]/SUM(Sales[Quantity])</f>
        <v>7.1520500425674048E-4</v>
      </c>
    </row>
    <row r="798" spans="1:10" x14ac:dyDescent="0.25">
      <c r="A798" t="s">
        <v>26</v>
      </c>
      <c r="B798" t="s">
        <v>24</v>
      </c>
      <c r="C798" t="s">
        <v>2</v>
      </c>
      <c r="D798">
        <v>2018</v>
      </c>
      <c r="E798">
        <v>258</v>
      </c>
      <c r="F798">
        <v>898</v>
      </c>
      <c r="G798">
        <v>313</v>
      </c>
      <c r="H798">
        <f>Sales[[#This Row],[Turnover]]-Sales[[#This Row],[Cost]]</f>
        <v>585</v>
      </c>
      <c r="I798" s="3">
        <f>Sales[[#This Row],[Turnover]]*1000/Sales[[#This Row],[Quantity]]</f>
        <v>3480.6201550387595</v>
      </c>
      <c r="J798" s="5">
        <f>Sales[[#This Row],[Quantity]]/SUM(Sales[Quantity])</f>
        <v>4.6833221090923611E-4</v>
      </c>
    </row>
    <row r="799" spans="1:10" x14ac:dyDescent="0.25">
      <c r="A799" t="s">
        <v>26</v>
      </c>
      <c r="B799" t="s">
        <v>24</v>
      </c>
      <c r="C799" t="s">
        <v>3</v>
      </c>
      <c r="D799">
        <v>2018</v>
      </c>
      <c r="E799">
        <v>286</v>
      </c>
      <c r="F799">
        <v>992</v>
      </c>
      <c r="G799">
        <v>347</v>
      </c>
      <c r="H799">
        <f>Sales[[#This Row],[Turnover]]-Sales[[#This Row],[Cost]]</f>
        <v>645</v>
      </c>
      <c r="I799" s="3">
        <f>Sales[[#This Row],[Turnover]]*1000/Sales[[#This Row],[Quantity]]</f>
        <v>3468.5314685314684</v>
      </c>
      <c r="J799" s="5">
        <f>Sales[[#This Row],[Quantity]]/SUM(Sales[Quantity])</f>
        <v>5.1915896248078109E-4</v>
      </c>
    </row>
    <row r="800" spans="1:10" x14ac:dyDescent="0.25">
      <c r="A800" t="s">
        <v>26</v>
      </c>
      <c r="B800" t="s">
        <v>24</v>
      </c>
      <c r="C800" t="s">
        <v>18</v>
      </c>
      <c r="D800">
        <v>2018</v>
      </c>
      <c r="E800">
        <v>284</v>
      </c>
      <c r="F800">
        <v>997</v>
      </c>
      <c r="G800">
        <v>344</v>
      </c>
      <c r="H800">
        <f>Sales[[#This Row],[Turnover]]-Sales[[#This Row],[Cost]]</f>
        <v>653</v>
      </c>
      <c r="I800" s="3">
        <f>Sales[[#This Row],[Turnover]]*1000/Sales[[#This Row],[Quantity]]</f>
        <v>3510.5633802816901</v>
      </c>
      <c r="J800" s="5">
        <f>Sales[[#This Row],[Quantity]]/SUM(Sales[Quantity])</f>
        <v>5.1552848022567077E-4</v>
      </c>
    </row>
    <row r="801" spans="1:10" x14ac:dyDescent="0.25">
      <c r="A801" t="s">
        <v>26</v>
      </c>
      <c r="B801" t="s">
        <v>24</v>
      </c>
      <c r="C801" t="s">
        <v>4</v>
      </c>
      <c r="D801">
        <v>2018</v>
      </c>
      <c r="E801">
        <v>270</v>
      </c>
      <c r="F801">
        <v>949</v>
      </c>
      <c r="G801">
        <v>328</v>
      </c>
      <c r="H801">
        <f>Sales[[#This Row],[Turnover]]-Sales[[#This Row],[Cost]]</f>
        <v>621</v>
      </c>
      <c r="I801" s="3">
        <f>Sales[[#This Row],[Turnover]]*1000/Sales[[#This Row],[Quantity]]</f>
        <v>3514.8148148148148</v>
      </c>
      <c r="J801" s="5">
        <f>Sales[[#This Row],[Quantity]]/SUM(Sales[Quantity])</f>
        <v>4.901151044398983E-4</v>
      </c>
    </row>
    <row r="802" spans="1:10" x14ac:dyDescent="0.25">
      <c r="A802" t="s">
        <v>26</v>
      </c>
      <c r="B802" t="s">
        <v>24</v>
      </c>
      <c r="C802" t="s">
        <v>19</v>
      </c>
      <c r="D802">
        <v>2018</v>
      </c>
      <c r="E802">
        <v>247</v>
      </c>
      <c r="F802">
        <v>865</v>
      </c>
      <c r="G802">
        <v>300</v>
      </c>
      <c r="H802">
        <f>Sales[[#This Row],[Turnover]]-Sales[[#This Row],[Cost]]</f>
        <v>565</v>
      </c>
      <c r="I802" s="3">
        <f>Sales[[#This Row],[Turnover]]*1000/Sales[[#This Row],[Quantity]]</f>
        <v>3502.0242914979758</v>
      </c>
      <c r="J802" s="5">
        <f>Sales[[#This Row],[Quantity]]/SUM(Sales[Quantity])</f>
        <v>4.4836455850612918E-4</v>
      </c>
    </row>
    <row r="803" spans="1:10" x14ac:dyDescent="0.25">
      <c r="A803" t="s">
        <v>29</v>
      </c>
      <c r="B803" t="s">
        <v>24</v>
      </c>
      <c r="C803" t="s">
        <v>2</v>
      </c>
      <c r="D803">
        <v>2018</v>
      </c>
      <c r="E803">
        <v>164</v>
      </c>
      <c r="F803">
        <v>673</v>
      </c>
      <c r="G803">
        <v>234</v>
      </c>
      <c r="H803">
        <f>Sales[[#This Row],[Turnover]]-Sales[[#This Row],[Cost]]</f>
        <v>439</v>
      </c>
      <c r="I803" s="3">
        <f>Sales[[#This Row],[Turnover]]*1000/Sales[[#This Row],[Quantity]]</f>
        <v>4103.6585365853662</v>
      </c>
      <c r="J803" s="5">
        <f>Sales[[#This Row],[Quantity]]/SUM(Sales[Quantity])</f>
        <v>2.9769954491904935E-4</v>
      </c>
    </row>
    <row r="804" spans="1:10" x14ac:dyDescent="0.25">
      <c r="A804" t="s">
        <v>29</v>
      </c>
      <c r="B804" t="s">
        <v>24</v>
      </c>
      <c r="C804" t="s">
        <v>3</v>
      </c>
      <c r="D804">
        <v>2018</v>
      </c>
      <c r="E804">
        <v>167</v>
      </c>
      <c r="F804">
        <v>691</v>
      </c>
      <c r="G804">
        <v>239</v>
      </c>
      <c r="H804">
        <f>Sales[[#This Row],[Turnover]]-Sales[[#This Row],[Cost]]</f>
        <v>452</v>
      </c>
      <c r="I804" s="3">
        <f>Sales[[#This Row],[Turnover]]*1000/Sales[[#This Row],[Quantity]]</f>
        <v>4137.7245508982032</v>
      </c>
      <c r="J804" s="5">
        <f>Sales[[#This Row],[Quantity]]/SUM(Sales[Quantity])</f>
        <v>3.0314526830171488E-4</v>
      </c>
    </row>
    <row r="805" spans="1:10" x14ac:dyDescent="0.25">
      <c r="A805" t="s">
        <v>29</v>
      </c>
      <c r="B805" t="s">
        <v>24</v>
      </c>
      <c r="C805" t="s">
        <v>18</v>
      </c>
      <c r="D805">
        <v>2018</v>
      </c>
      <c r="E805">
        <v>164</v>
      </c>
      <c r="F805">
        <v>672</v>
      </c>
      <c r="G805">
        <v>234</v>
      </c>
      <c r="H805">
        <f>Sales[[#This Row],[Turnover]]-Sales[[#This Row],[Cost]]</f>
        <v>438</v>
      </c>
      <c r="I805" s="3">
        <f>Sales[[#This Row],[Turnover]]*1000/Sales[[#This Row],[Quantity]]</f>
        <v>4097.5609756097565</v>
      </c>
      <c r="J805" s="5">
        <f>Sales[[#This Row],[Quantity]]/SUM(Sales[Quantity])</f>
        <v>2.9769954491904935E-4</v>
      </c>
    </row>
    <row r="806" spans="1:10" x14ac:dyDescent="0.25">
      <c r="A806" t="s">
        <v>29</v>
      </c>
      <c r="B806" t="s">
        <v>24</v>
      </c>
      <c r="C806" t="s">
        <v>4</v>
      </c>
      <c r="D806">
        <v>2018</v>
      </c>
      <c r="E806">
        <v>155</v>
      </c>
      <c r="F806">
        <v>631</v>
      </c>
      <c r="G806">
        <v>221</v>
      </c>
      <c r="H806">
        <f>Sales[[#This Row],[Turnover]]-Sales[[#This Row],[Cost]]</f>
        <v>410</v>
      </c>
      <c r="I806" s="3">
        <f>Sales[[#This Row],[Turnover]]*1000/Sales[[#This Row],[Quantity]]</f>
        <v>4070.9677419354839</v>
      </c>
      <c r="J806" s="5">
        <f>Sales[[#This Row],[Quantity]]/SUM(Sales[Quantity])</f>
        <v>2.8136237477105269E-4</v>
      </c>
    </row>
    <row r="807" spans="1:10" x14ac:dyDescent="0.25">
      <c r="A807" t="s">
        <v>29</v>
      </c>
      <c r="B807" t="s">
        <v>24</v>
      </c>
      <c r="C807" t="s">
        <v>19</v>
      </c>
      <c r="D807">
        <v>2018</v>
      </c>
      <c r="E807">
        <v>189</v>
      </c>
      <c r="F807">
        <v>771</v>
      </c>
      <c r="G807">
        <v>271</v>
      </c>
      <c r="H807">
        <f>Sales[[#This Row],[Turnover]]-Sales[[#This Row],[Cost]]</f>
        <v>500</v>
      </c>
      <c r="I807" s="3">
        <f>Sales[[#This Row],[Turnover]]*1000/Sales[[#This Row],[Quantity]]</f>
        <v>4079.3650793650795</v>
      </c>
      <c r="J807" s="5">
        <f>Sales[[#This Row],[Quantity]]/SUM(Sales[Quantity])</f>
        <v>3.4308057310792879E-4</v>
      </c>
    </row>
    <row r="808" spans="1:10" x14ac:dyDescent="0.25">
      <c r="A808" t="s">
        <v>27</v>
      </c>
      <c r="B808" t="s">
        <v>24</v>
      </c>
      <c r="C808" t="s">
        <v>12</v>
      </c>
      <c r="D808">
        <v>2019</v>
      </c>
      <c r="E808">
        <v>676</v>
      </c>
      <c r="F808">
        <v>470</v>
      </c>
      <c r="G808">
        <v>393</v>
      </c>
      <c r="H808">
        <f>Sales[[#This Row],[Turnover]]-Sales[[#This Row],[Cost]]</f>
        <v>77</v>
      </c>
      <c r="I808" s="3">
        <f>Sales[[#This Row],[Turnover]]*1000/Sales[[#This Row],[Quantity]]</f>
        <v>695.26627218934914</v>
      </c>
      <c r="J808" s="5">
        <f>Sales[[#This Row],[Quantity]]/SUM(Sales[Quantity])</f>
        <v>1.2271030022273008E-3</v>
      </c>
    </row>
    <row r="809" spans="1:10" x14ac:dyDescent="0.25">
      <c r="A809" t="s">
        <v>27</v>
      </c>
      <c r="B809" t="s">
        <v>24</v>
      </c>
      <c r="C809" t="s">
        <v>13</v>
      </c>
      <c r="D809">
        <v>2019</v>
      </c>
      <c r="E809">
        <v>615</v>
      </c>
      <c r="F809">
        <v>430</v>
      </c>
      <c r="G809">
        <v>358</v>
      </c>
      <c r="H809">
        <f>Sales[[#This Row],[Turnover]]-Sales[[#This Row],[Cost]]</f>
        <v>72</v>
      </c>
      <c r="I809" s="3">
        <f>Sales[[#This Row],[Turnover]]*1000/Sales[[#This Row],[Quantity]]</f>
        <v>699.18699186991864</v>
      </c>
      <c r="J809" s="5">
        <f>Sales[[#This Row],[Quantity]]/SUM(Sales[Quantity])</f>
        <v>1.1163732934464351E-3</v>
      </c>
    </row>
    <row r="810" spans="1:10" x14ac:dyDescent="0.25">
      <c r="A810" t="s">
        <v>27</v>
      </c>
      <c r="B810" t="s">
        <v>24</v>
      </c>
      <c r="C810" t="s">
        <v>16</v>
      </c>
      <c r="D810">
        <v>2019</v>
      </c>
      <c r="E810">
        <v>581</v>
      </c>
      <c r="F810">
        <v>405</v>
      </c>
      <c r="G810">
        <v>338</v>
      </c>
      <c r="H810">
        <f>Sales[[#This Row],[Turnover]]-Sales[[#This Row],[Cost]]</f>
        <v>67</v>
      </c>
      <c r="I810" s="3">
        <f>Sales[[#This Row],[Turnover]]*1000/Sales[[#This Row],[Quantity]]</f>
        <v>697.07401032702239</v>
      </c>
      <c r="J810" s="5">
        <f>Sales[[#This Row],[Quantity]]/SUM(Sales[Quantity])</f>
        <v>1.0546550951095589E-3</v>
      </c>
    </row>
    <row r="811" spans="1:10" x14ac:dyDescent="0.25">
      <c r="A811" t="s">
        <v>27</v>
      </c>
      <c r="B811" t="s">
        <v>24</v>
      </c>
      <c r="C811" t="s">
        <v>1</v>
      </c>
      <c r="D811">
        <v>2019</v>
      </c>
      <c r="E811">
        <v>507</v>
      </c>
      <c r="F811">
        <v>354</v>
      </c>
      <c r="G811">
        <v>295</v>
      </c>
      <c r="H811">
        <f>Sales[[#This Row],[Turnover]]-Sales[[#This Row],[Cost]]</f>
        <v>59</v>
      </c>
      <c r="I811" s="3">
        <f>Sales[[#This Row],[Turnover]]*1000/Sales[[#This Row],[Quantity]]</f>
        <v>698.2248520710059</v>
      </c>
      <c r="J811" s="5">
        <f>Sales[[#This Row],[Quantity]]/SUM(Sales[Quantity])</f>
        <v>9.2032725167047566E-4</v>
      </c>
    </row>
    <row r="812" spans="1:10" x14ac:dyDescent="0.25">
      <c r="A812" t="s">
        <v>27</v>
      </c>
      <c r="B812" t="s">
        <v>24</v>
      </c>
      <c r="C812" t="s">
        <v>17</v>
      </c>
      <c r="D812">
        <v>2019</v>
      </c>
      <c r="E812">
        <v>473</v>
      </c>
      <c r="F812">
        <v>331</v>
      </c>
      <c r="G812">
        <v>275</v>
      </c>
      <c r="H812">
        <f>Sales[[#This Row],[Turnover]]-Sales[[#This Row],[Cost]]</f>
        <v>56</v>
      </c>
      <c r="I812" s="3">
        <f>Sales[[#This Row],[Turnover]]*1000/Sales[[#This Row],[Quantity]]</f>
        <v>699.78858350951373</v>
      </c>
      <c r="J812" s="5">
        <f>Sales[[#This Row],[Quantity]]/SUM(Sales[Quantity])</f>
        <v>8.5860905333359956E-4</v>
      </c>
    </row>
    <row r="813" spans="1:10" x14ac:dyDescent="0.25">
      <c r="A813" t="s">
        <v>27</v>
      </c>
      <c r="B813" t="s">
        <v>24</v>
      </c>
      <c r="C813" t="s">
        <v>15</v>
      </c>
      <c r="D813">
        <v>2019</v>
      </c>
      <c r="E813">
        <v>580</v>
      </c>
      <c r="F813">
        <v>346</v>
      </c>
      <c r="G813">
        <v>337</v>
      </c>
      <c r="H813">
        <f>Sales[[#This Row],[Turnover]]-Sales[[#This Row],[Cost]]</f>
        <v>9</v>
      </c>
      <c r="I813" s="3">
        <f>Sales[[#This Row],[Turnover]]*1000/Sales[[#This Row],[Quantity]]</f>
        <v>596.55172413793105</v>
      </c>
      <c r="J813" s="5">
        <f>Sales[[#This Row],[Quantity]]/SUM(Sales[Quantity])</f>
        <v>1.0528398539820037E-3</v>
      </c>
    </row>
    <row r="814" spans="1:10" x14ac:dyDescent="0.25">
      <c r="A814" t="s">
        <v>27</v>
      </c>
      <c r="B814" t="s">
        <v>24</v>
      </c>
      <c r="C814" t="s">
        <v>14</v>
      </c>
      <c r="D814">
        <v>2019</v>
      </c>
      <c r="E814">
        <v>537</v>
      </c>
      <c r="F814">
        <v>322</v>
      </c>
      <c r="G814">
        <v>313</v>
      </c>
      <c r="H814">
        <f>Sales[[#This Row],[Turnover]]-Sales[[#This Row],[Cost]]</f>
        <v>9</v>
      </c>
      <c r="I814" s="3">
        <f>Sales[[#This Row],[Turnover]]*1000/Sales[[#This Row],[Quantity]]</f>
        <v>599.62756052141526</v>
      </c>
      <c r="J814" s="5">
        <f>Sales[[#This Row],[Quantity]]/SUM(Sales[Quantity])</f>
        <v>9.7478448549713102E-4</v>
      </c>
    </row>
    <row r="815" spans="1:10" x14ac:dyDescent="0.25">
      <c r="A815" t="s">
        <v>27</v>
      </c>
      <c r="B815" t="s">
        <v>24</v>
      </c>
      <c r="C815" t="s">
        <v>2</v>
      </c>
      <c r="D815">
        <v>2019</v>
      </c>
      <c r="E815">
        <v>468</v>
      </c>
      <c r="F815">
        <v>280</v>
      </c>
      <c r="G815">
        <v>273</v>
      </c>
      <c r="H815">
        <f>Sales[[#This Row],[Turnover]]-Sales[[#This Row],[Cost]]</f>
        <v>7</v>
      </c>
      <c r="I815" s="3">
        <f>Sales[[#This Row],[Turnover]]*1000/Sales[[#This Row],[Quantity]]</f>
        <v>598.29059829059827</v>
      </c>
      <c r="J815" s="5">
        <f>Sales[[#This Row],[Quantity]]/SUM(Sales[Quantity])</f>
        <v>8.4953284769582365E-4</v>
      </c>
    </row>
    <row r="816" spans="1:10" x14ac:dyDescent="0.25">
      <c r="A816" t="s">
        <v>27</v>
      </c>
      <c r="B816" t="s">
        <v>24</v>
      </c>
      <c r="C816" t="s">
        <v>3</v>
      </c>
      <c r="D816">
        <v>2019</v>
      </c>
      <c r="E816">
        <v>428</v>
      </c>
      <c r="F816">
        <v>257</v>
      </c>
      <c r="G816">
        <v>249</v>
      </c>
      <c r="H816">
        <f>Sales[[#This Row],[Turnover]]-Sales[[#This Row],[Cost]]</f>
        <v>8</v>
      </c>
      <c r="I816" s="3">
        <f>Sales[[#This Row],[Turnover]]*1000/Sales[[#This Row],[Quantity]]</f>
        <v>600.46728971962614</v>
      </c>
      <c r="J816" s="5">
        <f>Sales[[#This Row],[Quantity]]/SUM(Sales[Quantity])</f>
        <v>7.7692320259361647E-4</v>
      </c>
    </row>
    <row r="817" spans="1:10" x14ac:dyDescent="0.25">
      <c r="A817" t="s">
        <v>27</v>
      </c>
      <c r="B817" t="s">
        <v>24</v>
      </c>
      <c r="C817" t="s">
        <v>18</v>
      </c>
      <c r="D817">
        <v>2019</v>
      </c>
      <c r="E817">
        <v>552</v>
      </c>
      <c r="F817">
        <v>332</v>
      </c>
      <c r="G817">
        <v>321</v>
      </c>
      <c r="H817">
        <f>Sales[[#This Row],[Turnover]]-Sales[[#This Row],[Cost]]</f>
        <v>11</v>
      </c>
      <c r="I817" s="3">
        <f>Sales[[#This Row],[Turnover]]*1000/Sales[[#This Row],[Quantity]]</f>
        <v>601.44927536231887</v>
      </c>
      <c r="J817" s="5">
        <f>Sales[[#This Row],[Quantity]]/SUM(Sales[Quantity])</f>
        <v>1.0020131024104588E-3</v>
      </c>
    </row>
    <row r="818" spans="1:10" x14ac:dyDescent="0.25">
      <c r="A818" t="s">
        <v>27</v>
      </c>
      <c r="B818" t="s">
        <v>24</v>
      </c>
      <c r="C818" t="s">
        <v>4</v>
      </c>
      <c r="D818">
        <v>2019</v>
      </c>
      <c r="E818">
        <v>428</v>
      </c>
      <c r="F818">
        <v>259</v>
      </c>
      <c r="G818">
        <v>249</v>
      </c>
      <c r="H818">
        <f>Sales[[#This Row],[Turnover]]-Sales[[#This Row],[Cost]]</f>
        <v>10</v>
      </c>
      <c r="I818" s="3">
        <f>Sales[[#This Row],[Turnover]]*1000/Sales[[#This Row],[Quantity]]</f>
        <v>605.14018691588785</v>
      </c>
      <c r="J818" s="5">
        <f>Sales[[#This Row],[Quantity]]/SUM(Sales[Quantity])</f>
        <v>7.7692320259361647E-4</v>
      </c>
    </row>
    <row r="819" spans="1:10" x14ac:dyDescent="0.25">
      <c r="A819" t="s">
        <v>27</v>
      </c>
      <c r="B819" t="s">
        <v>24</v>
      </c>
      <c r="C819" t="s">
        <v>19</v>
      </c>
      <c r="D819">
        <v>2019</v>
      </c>
      <c r="E819">
        <v>463</v>
      </c>
      <c r="F819">
        <v>280</v>
      </c>
      <c r="G819">
        <v>270</v>
      </c>
      <c r="H819">
        <f>Sales[[#This Row],[Turnover]]-Sales[[#This Row],[Cost]]</f>
        <v>10</v>
      </c>
      <c r="I819" s="3">
        <f>Sales[[#This Row],[Turnover]]*1000/Sales[[#This Row],[Quantity]]</f>
        <v>604.75161987041042</v>
      </c>
      <c r="J819" s="5">
        <f>Sales[[#This Row],[Quantity]]/SUM(Sales[Quantity])</f>
        <v>8.4045664205804774E-4</v>
      </c>
    </row>
    <row r="820" spans="1:10" x14ac:dyDescent="0.25">
      <c r="A820" t="s">
        <v>28</v>
      </c>
      <c r="B820" t="s">
        <v>24</v>
      </c>
      <c r="C820" t="s">
        <v>12</v>
      </c>
      <c r="D820">
        <v>2019</v>
      </c>
      <c r="E820">
        <v>467</v>
      </c>
      <c r="F820">
        <v>373</v>
      </c>
      <c r="G820">
        <v>281</v>
      </c>
      <c r="H820">
        <f>Sales[[#This Row],[Turnover]]-Sales[[#This Row],[Cost]]</f>
        <v>92</v>
      </c>
      <c r="I820" s="3">
        <f>Sales[[#This Row],[Turnover]]*1000/Sales[[#This Row],[Quantity]]</f>
        <v>798.71520342612416</v>
      </c>
      <c r="J820" s="5">
        <f>Sales[[#This Row],[Quantity]]/SUM(Sales[Quantity])</f>
        <v>8.4771760656826849E-4</v>
      </c>
    </row>
    <row r="821" spans="1:10" x14ac:dyDescent="0.25">
      <c r="A821" t="s">
        <v>28</v>
      </c>
      <c r="B821" t="s">
        <v>24</v>
      </c>
      <c r="C821" t="s">
        <v>13</v>
      </c>
      <c r="D821">
        <v>2019</v>
      </c>
      <c r="E821">
        <v>466</v>
      </c>
      <c r="F821">
        <v>371</v>
      </c>
      <c r="G821">
        <v>281</v>
      </c>
      <c r="H821">
        <f>Sales[[#This Row],[Turnover]]-Sales[[#This Row],[Cost]]</f>
        <v>90</v>
      </c>
      <c r="I821" s="3">
        <f>Sales[[#This Row],[Turnover]]*1000/Sales[[#This Row],[Quantity]]</f>
        <v>796.13733905579397</v>
      </c>
      <c r="J821" s="5">
        <f>Sales[[#This Row],[Quantity]]/SUM(Sales[Quantity])</f>
        <v>8.4590236544071333E-4</v>
      </c>
    </row>
    <row r="822" spans="1:10" x14ac:dyDescent="0.25">
      <c r="A822" t="s">
        <v>28</v>
      </c>
      <c r="B822" t="s">
        <v>24</v>
      </c>
      <c r="C822" t="s">
        <v>16</v>
      </c>
      <c r="D822">
        <v>2019</v>
      </c>
      <c r="E822">
        <v>415</v>
      </c>
      <c r="F822">
        <v>331</v>
      </c>
      <c r="G822">
        <v>250</v>
      </c>
      <c r="H822">
        <f>Sales[[#This Row],[Turnover]]-Sales[[#This Row],[Cost]]</f>
        <v>81</v>
      </c>
      <c r="I822" s="3">
        <f>Sales[[#This Row],[Turnover]]*1000/Sales[[#This Row],[Quantity]]</f>
        <v>797.59036144578317</v>
      </c>
      <c r="J822" s="5">
        <f>Sales[[#This Row],[Quantity]]/SUM(Sales[Quantity])</f>
        <v>7.5332506793539917E-4</v>
      </c>
    </row>
    <row r="823" spans="1:10" x14ac:dyDescent="0.25">
      <c r="A823" t="s">
        <v>28</v>
      </c>
      <c r="B823" t="s">
        <v>24</v>
      </c>
      <c r="C823" t="s">
        <v>1</v>
      </c>
      <c r="D823">
        <v>2019</v>
      </c>
      <c r="E823">
        <v>347</v>
      </c>
      <c r="F823">
        <v>279</v>
      </c>
      <c r="G823">
        <v>209</v>
      </c>
      <c r="H823">
        <f>Sales[[#This Row],[Turnover]]-Sales[[#This Row],[Cost]]</f>
        <v>70</v>
      </c>
      <c r="I823" s="3">
        <f>Sales[[#This Row],[Turnover]]*1000/Sales[[#This Row],[Quantity]]</f>
        <v>804.03458213256488</v>
      </c>
      <c r="J823" s="5">
        <f>Sales[[#This Row],[Quantity]]/SUM(Sales[Quantity])</f>
        <v>6.2988867126164707E-4</v>
      </c>
    </row>
    <row r="824" spans="1:10" x14ac:dyDescent="0.25">
      <c r="A824" t="s">
        <v>28</v>
      </c>
      <c r="B824" t="s">
        <v>24</v>
      </c>
      <c r="C824" t="s">
        <v>17</v>
      </c>
      <c r="D824">
        <v>2019</v>
      </c>
      <c r="E824">
        <v>358</v>
      </c>
      <c r="F824">
        <v>286</v>
      </c>
      <c r="G824">
        <v>216</v>
      </c>
      <c r="H824">
        <f>Sales[[#This Row],[Turnover]]-Sales[[#This Row],[Cost]]</f>
        <v>70</v>
      </c>
      <c r="I824" s="3">
        <f>Sales[[#This Row],[Turnover]]*1000/Sales[[#This Row],[Quantity]]</f>
        <v>798.88268156424579</v>
      </c>
      <c r="J824" s="5">
        <f>Sales[[#This Row],[Quantity]]/SUM(Sales[Quantity])</f>
        <v>6.4985632366475405E-4</v>
      </c>
    </row>
    <row r="825" spans="1:10" x14ac:dyDescent="0.25">
      <c r="A825" t="s">
        <v>28</v>
      </c>
      <c r="B825" t="s">
        <v>24</v>
      </c>
      <c r="C825" t="s">
        <v>15</v>
      </c>
      <c r="D825">
        <v>2019</v>
      </c>
      <c r="E825">
        <v>453</v>
      </c>
      <c r="F825">
        <v>317</v>
      </c>
      <c r="G825">
        <v>273</v>
      </c>
      <c r="H825">
        <f>Sales[[#This Row],[Turnover]]-Sales[[#This Row],[Cost]]</f>
        <v>44</v>
      </c>
      <c r="I825" s="3">
        <f>Sales[[#This Row],[Turnover]]*1000/Sales[[#This Row],[Quantity]]</f>
        <v>699.77924944812366</v>
      </c>
      <c r="J825" s="5">
        <f>Sales[[#This Row],[Quantity]]/SUM(Sales[Quantity])</f>
        <v>8.2230423078249603E-4</v>
      </c>
    </row>
    <row r="826" spans="1:10" x14ac:dyDescent="0.25">
      <c r="A826" t="s">
        <v>28</v>
      </c>
      <c r="B826" t="s">
        <v>24</v>
      </c>
      <c r="C826" t="s">
        <v>14</v>
      </c>
      <c r="D826">
        <v>2019</v>
      </c>
      <c r="E826">
        <v>382</v>
      </c>
      <c r="F826">
        <v>265</v>
      </c>
      <c r="G826">
        <v>230</v>
      </c>
      <c r="H826">
        <f>Sales[[#This Row],[Turnover]]-Sales[[#This Row],[Cost]]</f>
        <v>35</v>
      </c>
      <c r="I826" s="3">
        <f>Sales[[#This Row],[Turnover]]*1000/Sales[[#This Row],[Quantity]]</f>
        <v>693.71727748691103</v>
      </c>
      <c r="J826" s="5">
        <f>Sales[[#This Row],[Quantity]]/SUM(Sales[Quantity])</f>
        <v>6.9342211072607833E-4</v>
      </c>
    </row>
    <row r="827" spans="1:10" x14ac:dyDescent="0.25">
      <c r="A827" t="s">
        <v>28</v>
      </c>
      <c r="B827" t="s">
        <v>24</v>
      </c>
      <c r="C827" t="s">
        <v>2</v>
      </c>
      <c r="D827">
        <v>2019</v>
      </c>
      <c r="E827">
        <v>410</v>
      </c>
      <c r="F827">
        <v>288</v>
      </c>
      <c r="G827">
        <v>247</v>
      </c>
      <c r="H827">
        <f>Sales[[#This Row],[Turnover]]-Sales[[#This Row],[Cost]]</f>
        <v>41</v>
      </c>
      <c r="I827" s="3">
        <f>Sales[[#This Row],[Turnover]]*1000/Sales[[#This Row],[Quantity]]</f>
        <v>702.43902439024396</v>
      </c>
      <c r="J827" s="5">
        <f>Sales[[#This Row],[Quantity]]/SUM(Sales[Quantity])</f>
        <v>7.4424886229762326E-4</v>
      </c>
    </row>
    <row r="828" spans="1:10" x14ac:dyDescent="0.25">
      <c r="A828" t="s">
        <v>28</v>
      </c>
      <c r="B828" t="s">
        <v>24</v>
      </c>
      <c r="C828" t="s">
        <v>3</v>
      </c>
      <c r="D828">
        <v>2019</v>
      </c>
      <c r="E828">
        <v>437</v>
      </c>
      <c r="F828">
        <v>308</v>
      </c>
      <c r="G828">
        <v>263</v>
      </c>
      <c r="H828">
        <f>Sales[[#This Row],[Turnover]]-Sales[[#This Row],[Cost]]</f>
        <v>45</v>
      </c>
      <c r="I828" s="3">
        <f>Sales[[#This Row],[Turnover]]*1000/Sales[[#This Row],[Quantity]]</f>
        <v>704.80549199084669</v>
      </c>
      <c r="J828" s="5">
        <f>Sales[[#This Row],[Quantity]]/SUM(Sales[Quantity])</f>
        <v>7.9326037274161313E-4</v>
      </c>
    </row>
    <row r="829" spans="1:10" x14ac:dyDescent="0.25">
      <c r="A829" t="s">
        <v>28</v>
      </c>
      <c r="B829" t="s">
        <v>24</v>
      </c>
      <c r="C829" t="s">
        <v>18</v>
      </c>
      <c r="D829">
        <v>2019</v>
      </c>
      <c r="E829">
        <v>420</v>
      </c>
      <c r="F829">
        <v>292</v>
      </c>
      <c r="G829">
        <v>253</v>
      </c>
      <c r="H829">
        <f>Sales[[#This Row],[Turnover]]-Sales[[#This Row],[Cost]]</f>
        <v>39</v>
      </c>
      <c r="I829" s="3">
        <f>Sales[[#This Row],[Turnover]]*1000/Sales[[#This Row],[Quantity]]</f>
        <v>695.23809523809518</v>
      </c>
      <c r="J829" s="5">
        <f>Sales[[#This Row],[Quantity]]/SUM(Sales[Quantity])</f>
        <v>7.6240127357317508E-4</v>
      </c>
    </row>
    <row r="830" spans="1:10" x14ac:dyDescent="0.25">
      <c r="A830" t="s">
        <v>28</v>
      </c>
      <c r="B830" t="s">
        <v>24</v>
      </c>
      <c r="C830" t="s">
        <v>4</v>
      </c>
      <c r="D830">
        <v>2019</v>
      </c>
      <c r="E830">
        <v>413</v>
      </c>
      <c r="F830">
        <v>290</v>
      </c>
      <c r="G830">
        <v>248</v>
      </c>
      <c r="H830">
        <f>Sales[[#This Row],[Turnover]]-Sales[[#This Row],[Cost]]</f>
        <v>42</v>
      </c>
      <c r="I830" s="3">
        <f>Sales[[#This Row],[Turnover]]*1000/Sales[[#This Row],[Quantity]]</f>
        <v>702.179176755448</v>
      </c>
      <c r="J830" s="5">
        <f>Sales[[#This Row],[Quantity]]/SUM(Sales[Quantity])</f>
        <v>7.4969458568028885E-4</v>
      </c>
    </row>
    <row r="831" spans="1:10" x14ac:dyDescent="0.25">
      <c r="A831" t="s">
        <v>28</v>
      </c>
      <c r="B831" t="s">
        <v>24</v>
      </c>
      <c r="C831" t="s">
        <v>19</v>
      </c>
      <c r="D831">
        <v>2019</v>
      </c>
      <c r="E831">
        <v>405</v>
      </c>
      <c r="F831">
        <v>283</v>
      </c>
      <c r="G831">
        <v>244</v>
      </c>
      <c r="H831">
        <f>Sales[[#This Row],[Turnover]]-Sales[[#This Row],[Cost]]</f>
        <v>39</v>
      </c>
      <c r="I831" s="3">
        <f>Sales[[#This Row],[Turnover]]*1000/Sales[[#This Row],[Quantity]]</f>
        <v>698.76543209876547</v>
      </c>
      <c r="J831" s="5">
        <f>Sales[[#This Row],[Quantity]]/SUM(Sales[Quantity])</f>
        <v>7.3517265665984746E-4</v>
      </c>
    </row>
    <row r="832" spans="1:10" x14ac:dyDescent="0.25">
      <c r="A832" t="s">
        <v>30</v>
      </c>
      <c r="B832" t="s">
        <v>24</v>
      </c>
      <c r="C832" t="s">
        <v>12</v>
      </c>
      <c r="D832">
        <v>2019</v>
      </c>
      <c r="E832">
        <v>389</v>
      </c>
      <c r="F832">
        <v>587</v>
      </c>
      <c r="G832">
        <v>472</v>
      </c>
      <c r="H832">
        <f>Sales[[#This Row],[Turnover]]-Sales[[#This Row],[Cost]]</f>
        <v>115</v>
      </c>
      <c r="I832" s="3">
        <f>Sales[[#This Row],[Turnover]]*1000/Sales[[#This Row],[Quantity]]</f>
        <v>1508.9974293059126</v>
      </c>
      <c r="J832" s="5">
        <f>Sales[[#This Row],[Quantity]]/SUM(Sales[Quantity])</f>
        <v>7.0612879861896456E-4</v>
      </c>
    </row>
    <row r="833" spans="1:10" x14ac:dyDescent="0.25">
      <c r="A833" t="s">
        <v>30</v>
      </c>
      <c r="B833" t="s">
        <v>24</v>
      </c>
      <c r="C833" t="s">
        <v>13</v>
      </c>
      <c r="D833">
        <v>2019</v>
      </c>
      <c r="E833">
        <v>291</v>
      </c>
      <c r="F833">
        <v>432</v>
      </c>
      <c r="G833">
        <v>352</v>
      </c>
      <c r="H833">
        <f>Sales[[#This Row],[Turnover]]-Sales[[#This Row],[Cost]]</f>
        <v>80</v>
      </c>
      <c r="I833" s="3">
        <f>Sales[[#This Row],[Turnover]]*1000/Sales[[#This Row],[Quantity]]</f>
        <v>1484.5360824742268</v>
      </c>
      <c r="J833" s="5">
        <f>Sales[[#This Row],[Quantity]]/SUM(Sales[Quantity])</f>
        <v>5.28235168118557E-4</v>
      </c>
    </row>
    <row r="834" spans="1:10" x14ac:dyDescent="0.25">
      <c r="A834" t="s">
        <v>30</v>
      </c>
      <c r="B834" t="s">
        <v>24</v>
      </c>
      <c r="C834" t="s">
        <v>16</v>
      </c>
      <c r="D834">
        <v>2019</v>
      </c>
      <c r="E834">
        <v>277</v>
      </c>
      <c r="F834">
        <v>417</v>
      </c>
      <c r="G834">
        <v>335</v>
      </c>
      <c r="H834">
        <f>Sales[[#This Row],[Turnover]]-Sales[[#This Row],[Cost]]</f>
        <v>82</v>
      </c>
      <c r="I834" s="3">
        <f>Sales[[#This Row],[Turnover]]*1000/Sales[[#This Row],[Quantity]]</f>
        <v>1505.4151624548736</v>
      </c>
      <c r="J834" s="5">
        <f>Sales[[#This Row],[Quantity]]/SUM(Sales[Quantity])</f>
        <v>5.0282179233278454E-4</v>
      </c>
    </row>
    <row r="835" spans="1:10" x14ac:dyDescent="0.25">
      <c r="A835" t="s">
        <v>30</v>
      </c>
      <c r="B835" t="s">
        <v>24</v>
      </c>
      <c r="C835" t="s">
        <v>1</v>
      </c>
      <c r="D835">
        <v>2019</v>
      </c>
      <c r="E835">
        <v>263</v>
      </c>
      <c r="F835">
        <v>398</v>
      </c>
      <c r="G835">
        <v>318</v>
      </c>
      <c r="H835">
        <f>Sales[[#This Row],[Turnover]]-Sales[[#This Row],[Cost]]</f>
        <v>80</v>
      </c>
      <c r="I835" s="3">
        <f>Sales[[#This Row],[Turnover]]*1000/Sales[[#This Row],[Quantity]]</f>
        <v>1513.3079847908746</v>
      </c>
      <c r="J835" s="5">
        <f>Sales[[#This Row],[Quantity]]/SUM(Sales[Quantity])</f>
        <v>4.7740841654701202E-4</v>
      </c>
    </row>
    <row r="836" spans="1:10" x14ac:dyDescent="0.25">
      <c r="A836" t="s">
        <v>30</v>
      </c>
      <c r="B836" t="s">
        <v>24</v>
      </c>
      <c r="C836" t="s">
        <v>17</v>
      </c>
      <c r="D836">
        <v>2019</v>
      </c>
      <c r="E836">
        <v>276</v>
      </c>
      <c r="F836">
        <v>416</v>
      </c>
      <c r="G836">
        <v>335</v>
      </c>
      <c r="H836">
        <f>Sales[[#This Row],[Turnover]]-Sales[[#This Row],[Cost]]</f>
        <v>81</v>
      </c>
      <c r="I836" s="3">
        <f>Sales[[#This Row],[Turnover]]*1000/Sales[[#This Row],[Quantity]]</f>
        <v>1507.2463768115942</v>
      </c>
      <c r="J836" s="5">
        <f>Sales[[#This Row],[Quantity]]/SUM(Sales[Quantity])</f>
        <v>5.0100655120522938E-4</v>
      </c>
    </row>
    <row r="837" spans="1:10" x14ac:dyDescent="0.25">
      <c r="A837" t="s">
        <v>30</v>
      </c>
      <c r="B837" t="s">
        <v>24</v>
      </c>
      <c r="C837" t="s">
        <v>15</v>
      </c>
      <c r="D837">
        <v>2019</v>
      </c>
      <c r="E837">
        <v>263</v>
      </c>
      <c r="F837">
        <v>396</v>
      </c>
      <c r="G837">
        <v>318</v>
      </c>
      <c r="H837">
        <f>Sales[[#This Row],[Turnover]]-Sales[[#This Row],[Cost]]</f>
        <v>78</v>
      </c>
      <c r="I837" s="3">
        <f>Sales[[#This Row],[Turnover]]*1000/Sales[[#This Row],[Quantity]]</f>
        <v>1505.7034220532319</v>
      </c>
      <c r="J837" s="5">
        <f>Sales[[#This Row],[Quantity]]/SUM(Sales[Quantity])</f>
        <v>4.7740841654701202E-4</v>
      </c>
    </row>
    <row r="838" spans="1:10" x14ac:dyDescent="0.25">
      <c r="A838" t="s">
        <v>30</v>
      </c>
      <c r="B838" t="s">
        <v>24</v>
      </c>
      <c r="C838" t="s">
        <v>14</v>
      </c>
      <c r="D838">
        <v>2019</v>
      </c>
      <c r="E838">
        <v>223</v>
      </c>
      <c r="F838">
        <v>331</v>
      </c>
      <c r="G838">
        <v>270</v>
      </c>
      <c r="H838">
        <f>Sales[[#This Row],[Turnover]]-Sales[[#This Row],[Cost]]</f>
        <v>61</v>
      </c>
      <c r="I838" s="3">
        <f>Sales[[#This Row],[Turnover]]*1000/Sales[[#This Row],[Quantity]]</f>
        <v>1484.3049327354261</v>
      </c>
      <c r="J838" s="5">
        <f>Sales[[#This Row],[Quantity]]/SUM(Sales[Quantity])</f>
        <v>4.047987714448049E-4</v>
      </c>
    </row>
    <row r="839" spans="1:10" x14ac:dyDescent="0.25">
      <c r="A839" t="s">
        <v>26</v>
      </c>
      <c r="B839" t="s">
        <v>24</v>
      </c>
      <c r="C839" t="s">
        <v>12</v>
      </c>
      <c r="D839">
        <v>2019</v>
      </c>
      <c r="E839">
        <v>249</v>
      </c>
      <c r="F839">
        <v>868</v>
      </c>
      <c r="G839">
        <v>302</v>
      </c>
      <c r="H839">
        <f>Sales[[#This Row],[Turnover]]-Sales[[#This Row],[Cost]]</f>
        <v>566</v>
      </c>
      <c r="I839" s="3">
        <f>Sales[[#This Row],[Turnover]]*1000/Sales[[#This Row],[Quantity]]</f>
        <v>3485.9437751004016</v>
      </c>
      <c r="J839" s="5">
        <f>Sales[[#This Row],[Quantity]]/SUM(Sales[Quantity])</f>
        <v>4.519950407612395E-4</v>
      </c>
    </row>
    <row r="840" spans="1:10" x14ac:dyDescent="0.25">
      <c r="A840" t="s">
        <v>26</v>
      </c>
      <c r="B840" t="s">
        <v>24</v>
      </c>
      <c r="C840" t="s">
        <v>13</v>
      </c>
      <c r="D840">
        <v>2019</v>
      </c>
      <c r="E840">
        <v>233</v>
      </c>
      <c r="F840">
        <v>812</v>
      </c>
      <c r="G840">
        <v>283</v>
      </c>
      <c r="H840">
        <f>Sales[[#This Row],[Turnover]]-Sales[[#This Row],[Cost]]</f>
        <v>529</v>
      </c>
      <c r="I840" s="3">
        <f>Sales[[#This Row],[Turnover]]*1000/Sales[[#This Row],[Quantity]]</f>
        <v>3484.9785407725321</v>
      </c>
      <c r="J840" s="5">
        <f>Sales[[#This Row],[Quantity]]/SUM(Sales[Quantity])</f>
        <v>4.2295118272035666E-4</v>
      </c>
    </row>
    <row r="841" spans="1:10" x14ac:dyDescent="0.25">
      <c r="A841" t="s">
        <v>26</v>
      </c>
      <c r="B841" t="s">
        <v>24</v>
      </c>
      <c r="C841" t="s">
        <v>16</v>
      </c>
      <c r="D841">
        <v>2019</v>
      </c>
      <c r="E841">
        <v>218</v>
      </c>
      <c r="F841">
        <v>764</v>
      </c>
      <c r="G841">
        <v>264</v>
      </c>
      <c r="H841">
        <f>Sales[[#This Row],[Turnover]]-Sales[[#This Row],[Cost]]</f>
        <v>500</v>
      </c>
      <c r="I841" s="3">
        <f>Sales[[#This Row],[Turnover]]*1000/Sales[[#This Row],[Quantity]]</f>
        <v>3504.5871559633028</v>
      </c>
      <c r="J841" s="5">
        <f>Sales[[#This Row],[Quantity]]/SUM(Sales[Quantity])</f>
        <v>3.9572256580702899E-4</v>
      </c>
    </row>
    <row r="842" spans="1:10" x14ac:dyDescent="0.25">
      <c r="A842" t="s">
        <v>26</v>
      </c>
      <c r="B842" t="s">
        <v>24</v>
      </c>
      <c r="C842" t="s">
        <v>1</v>
      </c>
      <c r="D842">
        <v>2019</v>
      </c>
      <c r="E842">
        <v>201</v>
      </c>
      <c r="F842">
        <v>702</v>
      </c>
      <c r="G842">
        <v>243</v>
      </c>
      <c r="H842">
        <f>Sales[[#This Row],[Turnover]]-Sales[[#This Row],[Cost]]</f>
        <v>459</v>
      </c>
      <c r="I842" s="3">
        <f>Sales[[#This Row],[Turnover]]*1000/Sales[[#This Row],[Quantity]]</f>
        <v>3492.5373134328356</v>
      </c>
      <c r="J842" s="5">
        <f>Sales[[#This Row],[Quantity]]/SUM(Sales[Quantity])</f>
        <v>3.6486346663859093E-4</v>
      </c>
    </row>
    <row r="843" spans="1:10" x14ac:dyDescent="0.25">
      <c r="A843" t="s">
        <v>26</v>
      </c>
      <c r="B843" t="s">
        <v>24</v>
      </c>
      <c r="C843" t="s">
        <v>17</v>
      </c>
      <c r="D843">
        <v>2019</v>
      </c>
      <c r="E843">
        <v>193</v>
      </c>
      <c r="F843">
        <v>683</v>
      </c>
      <c r="G843">
        <v>235</v>
      </c>
      <c r="H843">
        <f>Sales[[#This Row],[Turnover]]-Sales[[#This Row],[Cost]]</f>
        <v>448</v>
      </c>
      <c r="I843" s="3">
        <f>Sales[[#This Row],[Turnover]]*1000/Sales[[#This Row],[Quantity]]</f>
        <v>3538.8601036269429</v>
      </c>
      <c r="J843" s="5">
        <f>Sales[[#This Row],[Quantity]]/SUM(Sales[Quantity])</f>
        <v>3.5034153761814949E-4</v>
      </c>
    </row>
    <row r="844" spans="1:10" x14ac:dyDescent="0.25">
      <c r="A844" t="s">
        <v>26</v>
      </c>
      <c r="B844" t="s">
        <v>24</v>
      </c>
      <c r="C844" t="s">
        <v>15</v>
      </c>
      <c r="D844">
        <v>2019</v>
      </c>
      <c r="E844">
        <v>210</v>
      </c>
      <c r="F844">
        <v>730</v>
      </c>
      <c r="G844">
        <v>255</v>
      </c>
      <c r="H844">
        <f>Sales[[#This Row],[Turnover]]-Sales[[#This Row],[Cost]]</f>
        <v>475</v>
      </c>
      <c r="I844" s="3">
        <f>Sales[[#This Row],[Turnover]]*1000/Sales[[#This Row],[Quantity]]</f>
        <v>3476.1904761904761</v>
      </c>
      <c r="J844" s="5">
        <f>Sales[[#This Row],[Quantity]]/SUM(Sales[Quantity])</f>
        <v>3.8120063678658754E-4</v>
      </c>
    </row>
    <row r="845" spans="1:10" x14ac:dyDescent="0.25">
      <c r="A845" t="s">
        <v>26</v>
      </c>
      <c r="B845" t="s">
        <v>24</v>
      </c>
      <c r="C845" t="s">
        <v>14</v>
      </c>
      <c r="D845">
        <v>2019</v>
      </c>
      <c r="E845">
        <v>231</v>
      </c>
      <c r="F845">
        <v>803</v>
      </c>
      <c r="G845">
        <v>280</v>
      </c>
      <c r="H845">
        <f>Sales[[#This Row],[Turnover]]-Sales[[#This Row],[Cost]]</f>
        <v>523</v>
      </c>
      <c r="I845" s="3">
        <f>Sales[[#This Row],[Turnover]]*1000/Sales[[#This Row],[Quantity]]</f>
        <v>3476.1904761904761</v>
      </c>
      <c r="J845" s="5">
        <f>Sales[[#This Row],[Quantity]]/SUM(Sales[Quantity])</f>
        <v>4.1932070046524629E-4</v>
      </c>
    </row>
    <row r="846" spans="1:10" x14ac:dyDescent="0.25">
      <c r="A846" t="s">
        <v>26</v>
      </c>
      <c r="B846" t="s">
        <v>24</v>
      </c>
      <c r="C846" t="s">
        <v>2</v>
      </c>
      <c r="D846">
        <v>2019</v>
      </c>
      <c r="E846">
        <v>174</v>
      </c>
      <c r="F846">
        <v>606</v>
      </c>
      <c r="G846">
        <v>211</v>
      </c>
      <c r="H846">
        <f>Sales[[#This Row],[Turnover]]-Sales[[#This Row],[Cost]]</f>
        <v>395</v>
      </c>
      <c r="I846" s="3">
        <f>Sales[[#This Row],[Turnover]]*1000/Sales[[#This Row],[Quantity]]</f>
        <v>3482.7586206896553</v>
      </c>
      <c r="J846" s="5">
        <f>Sales[[#This Row],[Quantity]]/SUM(Sales[Quantity])</f>
        <v>3.1585195619460111E-4</v>
      </c>
    </row>
    <row r="847" spans="1:10" x14ac:dyDescent="0.25">
      <c r="A847" t="s">
        <v>26</v>
      </c>
      <c r="B847" t="s">
        <v>24</v>
      </c>
      <c r="C847" t="s">
        <v>3</v>
      </c>
      <c r="D847">
        <v>2019</v>
      </c>
      <c r="E847">
        <v>169</v>
      </c>
      <c r="F847">
        <v>590</v>
      </c>
      <c r="G847">
        <v>206</v>
      </c>
      <c r="H847">
        <f>Sales[[#This Row],[Turnover]]-Sales[[#This Row],[Cost]]</f>
        <v>384</v>
      </c>
      <c r="I847" s="3">
        <f>Sales[[#This Row],[Turnover]]*1000/Sales[[#This Row],[Quantity]]</f>
        <v>3491.1242603550295</v>
      </c>
      <c r="J847" s="5">
        <f>Sales[[#This Row],[Quantity]]/SUM(Sales[Quantity])</f>
        <v>3.067757505568252E-4</v>
      </c>
    </row>
    <row r="848" spans="1:10" x14ac:dyDescent="0.25">
      <c r="A848" t="s">
        <v>26</v>
      </c>
      <c r="B848" t="s">
        <v>24</v>
      </c>
      <c r="C848" t="s">
        <v>18</v>
      </c>
      <c r="D848">
        <v>2019</v>
      </c>
      <c r="E848">
        <v>143</v>
      </c>
      <c r="F848">
        <v>503</v>
      </c>
      <c r="G848">
        <v>173</v>
      </c>
      <c r="H848">
        <f>Sales[[#This Row],[Turnover]]-Sales[[#This Row],[Cost]]</f>
        <v>330</v>
      </c>
      <c r="I848" s="3">
        <f>Sales[[#This Row],[Turnover]]*1000/Sales[[#This Row],[Quantity]]</f>
        <v>3517.4825174825173</v>
      </c>
      <c r="J848" s="5">
        <f>Sales[[#This Row],[Quantity]]/SUM(Sales[Quantity])</f>
        <v>2.5957948124039054E-4</v>
      </c>
    </row>
    <row r="849" spans="1:10" x14ac:dyDescent="0.25">
      <c r="A849" t="s">
        <v>29</v>
      </c>
      <c r="B849" t="s">
        <v>24</v>
      </c>
      <c r="C849" t="s">
        <v>12</v>
      </c>
      <c r="D849">
        <v>2019</v>
      </c>
      <c r="E849">
        <v>215</v>
      </c>
      <c r="F849">
        <v>874</v>
      </c>
      <c r="G849">
        <v>307</v>
      </c>
      <c r="H849">
        <f>Sales[[#This Row],[Turnover]]-Sales[[#This Row],[Cost]]</f>
        <v>567</v>
      </c>
      <c r="I849" s="3">
        <f>Sales[[#This Row],[Turnover]]*1000/Sales[[#This Row],[Quantity]]</f>
        <v>4065.1162790697676</v>
      </c>
      <c r="J849" s="5">
        <f>Sales[[#This Row],[Quantity]]/SUM(Sales[Quantity])</f>
        <v>3.9027684242436345E-4</v>
      </c>
    </row>
    <row r="850" spans="1:10" x14ac:dyDescent="0.25">
      <c r="A850" t="s">
        <v>29</v>
      </c>
      <c r="B850" t="s">
        <v>24</v>
      </c>
      <c r="C850" t="s">
        <v>13</v>
      </c>
      <c r="D850">
        <v>2019</v>
      </c>
      <c r="E850">
        <v>187</v>
      </c>
      <c r="F850">
        <v>758</v>
      </c>
      <c r="G850">
        <v>267</v>
      </c>
      <c r="H850">
        <f>Sales[[#This Row],[Turnover]]-Sales[[#This Row],[Cost]]</f>
        <v>491</v>
      </c>
      <c r="I850" s="3">
        <f>Sales[[#This Row],[Turnover]]*1000/Sales[[#This Row],[Quantity]]</f>
        <v>4053.475935828877</v>
      </c>
      <c r="J850" s="5">
        <f>Sales[[#This Row],[Quantity]]/SUM(Sales[Quantity])</f>
        <v>3.3945009085281842E-4</v>
      </c>
    </row>
    <row r="851" spans="1:10" x14ac:dyDescent="0.25">
      <c r="A851" t="s">
        <v>29</v>
      </c>
      <c r="B851" t="s">
        <v>24</v>
      </c>
      <c r="C851" t="s">
        <v>16</v>
      </c>
      <c r="D851">
        <v>2019</v>
      </c>
      <c r="E851">
        <v>214</v>
      </c>
      <c r="F851">
        <v>871</v>
      </c>
      <c r="G851">
        <v>307</v>
      </c>
      <c r="H851">
        <f>Sales[[#This Row],[Turnover]]-Sales[[#This Row],[Cost]]</f>
        <v>564</v>
      </c>
      <c r="I851" s="3">
        <f>Sales[[#This Row],[Turnover]]*1000/Sales[[#This Row],[Quantity]]</f>
        <v>4070.0934579439254</v>
      </c>
      <c r="J851" s="5">
        <f>Sales[[#This Row],[Quantity]]/SUM(Sales[Quantity])</f>
        <v>3.8846160129680824E-4</v>
      </c>
    </row>
    <row r="852" spans="1:10" x14ac:dyDescent="0.25">
      <c r="A852" t="s">
        <v>29</v>
      </c>
      <c r="B852" t="s">
        <v>24</v>
      </c>
      <c r="C852" t="s">
        <v>1</v>
      </c>
      <c r="D852">
        <v>2019</v>
      </c>
      <c r="E852">
        <v>169</v>
      </c>
      <c r="F852">
        <v>686</v>
      </c>
      <c r="G852">
        <v>241</v>
      </c>
      <c r="H852">
        <f>Sales[[#This Row],[Turnover]]-Sales[[#This Row],[Cost]]</f>
        <v>445</v>
      </c>
      <c r="I852" s="3">
        <f>Sales[[#This Row],[Turnover]]*1000/Sales[[#This Row],[Quantity]]</f>
        <v>4059.1715976331361</v>
      </c>
      <c r="J852" s="5">
        <f>Sales[[#This Row],[Quantity]]/SUM(Sales[Quantity])</f>
        <v>3.067757505568252E-4</v>
      </c>
    </row>
    <row r="853" spans="1:10" x14ac:dyDescent="0.25">
      <c r="A853" t="s">
        <v>29</v>
      </c>
      <c r="B853" t="s">
        <v>24</v>
      </c>
      <c r="C853" t="s">
        <v>17</v>
      </c>
      <c r="D853">
        <v>2019</v>
      </c>
      <c r="E853">
        <v>197</v>
      </c>
      <c r="F853">
        <v>801</v>
      </c>
      <c r="G853">
        <v>281</v>
      </c>
      <c r="H853">
        <f>Sales[[#This Row],[Turnover]]-Sales[[#This Row],[Cost]]</f>
        <v>520</v>
      </c>
      <c r="I853" s="3">
        <f>Sales[[#This Row],[Turnover]]*1000/Sales[[#This Row],[Quantity]]</f>
        <v>4065.9898477157362</v>
      </c>
      <c r="J853" s="5">
        <f>Sales[[#This Row],[Quantity]]/SUM(Sales[Quantity])</f>
        <v>3.5760250212837024E-4</v>
      </c>
    </row>
    <row r="854" spans="1:10" x14ac:dyDescent="0.25">
      <c r="A854" t="s">
        <v>29</v>
      </c>
      <c r="B854" t="s">
        <v>24</v>
      </c>
      <c r="C854" t="s">
        <v>15</v>
      </c>
      <c r="D854">
        <v>2019</v>
      </c>
      <c r="E854">
        <v>172</v>
      </c>
      <c r="F854">
        <v>702</v>
      </c>
      <c r="G854">
        <v>246</v>
      </c>
      <c r="H854">
        <f>Sales[[#This Row],[Turnover]]-Sales[[#This Row],[Cost]]</f>
        <v>456</v>
      </c>
      <c r="I854" s="3">
        <f>Sales[[#This Row],[Turnover]]*1000/Sales[[#This Row],[Quantity]]</f>
        <v>4081.3953488372094</v>
      </c>
      <c r="J854" s="5">
        <f>Sales[[#This Row],[Quantity]]/SUM(Sales[Quantity])</f>
        <v>3.1222147393949074E-4</v>
      </c>
    </row>
    <row r="855" spans="1:10" x14ac:dyDescent="0.25">
      <c r="A855" t="s">
        <v>29</v>
      </c>
      <c r="B855" t="s">
        <v>24</v>
      </c>
      <c r="C855" t="s">
        <v>14</v>
      </c>
      <c r="D855">
        <v>2019</v>
      </c>
      <c r="E855">
        <v>193</v>
      </c>
      <c r="F855">
        <v>795</v>
      </c>
      <c r="G855">
        <v>276</v>
      </c>
      <c r="H855">
        <f>Sales[[#This Row],[Turnover]]-Sales[[#This Row],[Cost]]</f>
        <v>519</v>
      </c>
      <c r="I855" s="3">
        <f>Sales[[#This Row],[Turnover]]*1000/Sales[[#This Row],[Quantity]]</f>
        <v>4119.1709844559582</v>
      </c>
      <c r="J855" s="5">
        <f>Sales[[#This Row],[Quantity]]/SUM(Sales[Quantity])</f>
        <v>3.5034153761814949E-4</v>
      </c>
    </row>
    <row r="856" spans="1:10" x14ac:dyDescent="0.25">
      <c r="A856" t="s">
        <v>29</v>
      </c>
      <c r="B856" t="s">
        <v>24</v>
      </c>
      <c r="C856" t="s">
        <v>2</v>
      </c>
      <c r="D856">
        <v>2019</v>
      </c>
      <c r="E856">
        <v>162</v>
      </c>
      <c r="F856">
        <v>667</v>
      </c>
      <c r="G856">
        <v>232</v>
      </c>
      <c r="H856">
        <f>Sales[[#This Row],[Turnover]]-Sales[[#This Row],[Cost]]</f>
        <v>435</v>
      </c>
      <c r="I856" s="3">
        <f>Sales[[#This Row],[Turnover]]*1000/Sales[[#This Row],[Quantity]]</f>
        <v>4117.2839506172841</v>
      </c>
      <c r="J856" s="5">
        <f>Sales[[#This Row],[Quantity]]/SUM(Sales[Quantity])</f>
        <v>2.9406906266393897E-4</v>
      </c>
    </row>
    <row r="857" spans="1:10" x14ac:dyDescent="0.25">
      <c r="A857" t="s">
        <v>29</v>
      </c>
      <c r="B857" t="s">
        <v>24</v>
      </c>
      <c r="C857" t="s">
        <v>3</v>
      </c>
      <c r="D857">
        <v>2019</v>
      </c>
      <c r="E857">
        <v>157</v>
      </c>
      <c r="F857">
        <v>646</v>
      </c>
      <c r="G857">
        <v>225</v>
      </c>
      <c r="H857">
        <f>Sales[[#This Row],[Turnover]]-Sales[[#This Row],[Cost]]</f>
        <v>421</v>
      </c>
      <c r="I857" s="3">
        <f>Sales[[#This Row],[Turnover]]*1000/Sales[[#This Row],[Quantity]]</f>
        <v>4114.6496815286628</v>
      </c>
      <c r="J857" s="5">
        <f>Sales[[#This Row],[Quantity]]/SUM(Sales[Quantity])</f>
        <v>2.8499285702616306E-4</v>
      </c>
    </row>
    <row r="858" spans="1:10" x14ac:dyDescent="0.25">
      <c r="A858" t="s">
        <v>29</v>
      </c>
      <c r="B858" t="s">
        <v>24</v>
      </c>
      <c r="C858" t="s">
        <v>18</v>
      </c>
      <c r="D858">
        <v>2019</v>
      </c>
      <c r="E858">
        <v>183</v>
      </c>
      <c r="F858">
        <v>751</v>
      </c>
      <c r="G858">
        <v>262</v>
      </c>
      <c r="H858">
        <f>Sales[[#This Row],[Turnover]]-Sales[[#This Row],[Cost]]</f>
        <v>489</v>
      </c>
      <c r="I858" s="3">
        <f>Sales[[#This Row],[Turnover]]*1000/Sales[[#This Row],[Quantity]]</f>
        <v>4103.8251366120221</v>
      </c>
      <c r="J858" s="5">
        <f>Sales[[#This Row],[Quantity]]/SUM(Sales[Quantity])</f>
        <v>3.3218912634259772E-4</v>
      </c>
    </row>
    <row r="859" spans="1:10" x14ac:dyDescent="0.25">
      <c r="A859" t="s">
        <v>27</v>
      </c>
      <c r="B859" t="s">
        <v>24</v>
      </c>
      <c r="C859" t="s">
        <v>12</v>
      </c>
      <c r="D859">
        <v>2020</v>
      </c>
      <c r="E859">
        <v>430</v>
      </c>
      <c r="F859">
        <v>256</v>
      </c>
      <c r="G859">
        <v>250</v>
      </c>
      <c r="H859">
        <f>Sales[[#This Row],[Turnover]]-Sales[[#This Row],[Cost]]</f>
        <v>6</v>
      </c>
      <c r="I859" s="3">
        <f>Sales[[#This Row],[Turnover]]*1000/Sales[[#This Row],[Quantity]]</f>
        <v>595.34883720930236</v>
      </c>
      <c r="J859" s="5">
        <f>Sales[[#This Row],[Quantity]]/SUM(Sales[Quantity])</f>
        <v>7.805536848487269E-4</v>
      </c>
    </row>
    <row r="860" spans="1:10" x14ac:dyDescent="0.25">
      <c r="A860" t="s">
        <v>27</v>
      </c>
      <c r="B860" t="s">
        <v>24</v>
      </c>
      <c r="C860" t="s">
        <v>13</v>
      </c>
      <c r="D860">
        <v>2020</v>
      </c>
      <c r="E860">
        <v>479</v>
      </c>
      <c r="F860">
        <v>285</v>
      </c>
      <c r="G860">
        <v>279</v>
      </c>
      <c r="H860">
        <f>Sales[[#This Row],[Turnover]]-Sales[[#This Row],[Cost]]</f>
        <v>6</v>
      </c>
      <c r="I860" s="3">
        <f>Sales[[#This Row],[Turnover]]*1000/Sales[[#This Row],[Quantity]]</f>
        <v>594.98956158663884</v>
      </c>
      <c r="J860" s="5">
        <f>Sales[[#This Row],[Quantity]]/SUM(Sales[Quantity])</f>
        <v>8.6950050009893063E-4</v>
      </c>
    </row>
    <row r="861" spans="1:10" x14ac:dyDescent="0.25">
      <c r="A861" t="s">
        <v>27</v>
      </c>
      <c r="B861" t="s">
        <v>24</v>
      </c>
      <c r="C861" t="s">
        <v>16</v>
      </c>
      <c r="D861">
        <v>2020</v>
      </c>
      <c r="E861">
        <v>428</v>
      </c>
      <c r="F861">
        <v>259</v>
      </c>
      <c r="G861">
        <v>249</v>
      </c>
      <c r="H861">
        <f>Sales[[#This Row],[Turnover]]-Sales[[#This Row],[Cost]]</f>
        <v>10</v>
      </c>
      <c r="I861" s="3">
        <f>Sales[[#This Row],[Turnover]]*1000/Sales[[#This Row],[Quantity]]</f>
        <v>605.14018691588785</v>
      </c>
      <c r="J861" s="5">
        <f>Sales[[#This Row],[Quantity]]/SUM(Sales[Quantity])</f>
        <v>7.7692320259361647E-4</v>
      </c>
    </row>
    <row r="862" spans="1:10" x14ac:dyDescent="0.25">
      <c r="A862" t="s">
        <v>27</v>
      </c>
      <c r="B862" t="s">
        <v>24</v>
      </c>
      <c r="C862" t="s">
        <v>1</v>
      </c>
      <c r="D862">
        <v>2020</v>
      </c>
      <c r="E862">
        <v>422</v>
      </c>
      <c r="F862">
        <v>255</v>
      </c>
      <c r="G862">
        <v>246</v>
      </c>
      <c r="H862">
        <f>Sales[[#This Row],[Turnover]]-Sales[[#This Row],[Cost]]</f>
        <v>9</v>
      </c>
      <c r="I862" s="3">
        <f>Sales[[#This Row],[Turnover]]*1000/Sales[[#This Row],[Quantity]]</f>
        <v>604.26540284360192</v>
      </c>
      <c r="J862" s="5">
        <f>Sales[[#This Row],[Quantity]]/SUM(Sales[Quantity])</f>
        <v>7.660317558282854E-4</v>
      </c>
    </row>
    <row r="863" spans="1:10" x14ac:dyDescent="0.25">
      <c r="A863" t="s">
        <v>27</v>
      </c>
      <c r="B863" t="s">
        <v>24</v>
      </c>
      <c r="C863" t="s">
        <v>17</v>
      </c>
      <c r="D863">
        <v>2020</v>
      </c>
      <c r="E863">
        <v>337</v>
      </c>
      <c r="F863">
        <v>202</v>
      </c>
      <c r="G863">
        <v>196</v>
      </c>
      <c r="H863">
        <f>Sales[[#This Row],[Turnover]]-Sales[[#This Row],[Cost]]</f>
        <v>6</v>
      </c>
      <c r="I863" s="3">
        <f>Sales[[#This Row],[Turnover]]*1000/Sales[[#This Row],[Quantity]]</f>
        <v>599.406528189911</v>
      </c>
      <c r="J863" s="5">
        <f>Sales[[#This Row],[Quantity]]/SUM(Sales[Quantity])</f>
        <v>6.1173625998609525E-4</v>
      </c>
    </row>
    <row r="864" spans="1:10" x14ac:dyDescent="0.25">
      <c r="A864" t="s">
        <v>27</v>
      </c>
      <c r="B864" t="s">
        <v>24</v>
      </c>
      <c r="C864" t="s">
        <v>15</v>
      </c>
      <c r="D864">
        <v>2020</v>
      </c>
      <c r="E864">
        <v>329</v>
      </c>
      <c r="F864">
        <v>196</v>
      </c>
      <c r="G864">
        <v>191</v>
      </c>
      <c r="H864">
        <f>Sales[[#This Row],[Turnover]]-Sales[[#This Row],[Cost]]</f>
        <v>5</v>
      </c>
      <c r="I864" s="3">
        <f>Sales[[#This Row],[Turnover]]*1000/Sales[[#This Row],[Quantity]]</f>
        <v>595.74468085106378</v>
      </c>
      <c r="J864" s="5">
        <f>Sales[[#This Row],[Quantity]]/SUM(Sales[Quantity])</f>
        <v>5.9721433096565385E-4</v>
      </c>
    </row>
    <row r="865" spans="1:10" x14ac:dyDescent="0.25">
      <c r="A865" t="s">
        <v>27</v>
      </c>
      <c r="B865" t="s">
        <v>24</v>
      </c>
      <c r="C865" t="s">
        <v>14</v>
      </c>
      <c r="D865">
        <v>2020</v>
      </c>
      <c r="E865">
        <v>333</v>
      </c>
      <c r="F865">
        <v>200</v>
      </c>
      <c r="G865">
        <v>194</v>
      </c>
      <c r="H865">
        <f>Sales[[#This Row],[Turnover]]-Sales[[#This Row],[Cost]]</f>
        <v>6</v>
      </c>
      <c r="I865" s="3">
        <f>Sales[[#This Row],[Turnover]]*1000/Sales[[#This Row],[Quantity]]</f>
        <v>600.60060060060061</v>
      </c>
      <c r="J865" s="5">
        <f>Sales[[#This Row],[Quantity]]/SUM(Sales[Quantity])</f>
        <v>6.044752954758745E-4</v>
      </c>
    </row>
    <row r="866" spans="1:10" x14ac:dyDescent="0.25">
      <c r="A866" t="s">
        <v>27</v>
      </c>
      <c r="B866" t="s">
        <v>24</v>
      </c>
      <c r="C866" t="s">
        <v>2</v>
      </c>
      <c r="D866">
        <v>2020</v>
      </c>
      <c r="E866">
        <v>332</v>
      </c>
      <c r="F866">
        <v>199</v>
      </c>
      <c r="G866">
        <v>193</v>
      </c>
      <c r="H866">
        <f>Sales[[#This Row],[Turnover]]-Sales[[#This Row],[Cost]]</f>
        <v>6</v>
      </c>
      <c r="I866" s="3">
        <f>Sales[[#This Row],[Turnover]]*1000/Sales[[#This Row],[Quantity]]</f>
        <v>599.39759036144574</v>
      </c>
      <c r="J866" s="5">
        <f>Sales[[#This Row],[Quantity]]/SUM(Sales[Quantity])</f>
        <v>6.0266005434831934E-4</v>
      </c>
    </row>
    <row r="867" spans="1:10" x14ac:dyDescent="0.25">
      <c r="A867" t="s">
        <v>27</v>
      </c>
      <c r="B867" t="s">
        <v>24</v>
      </c>
      <c r="C867" t="s">
        <v>3</v>
      </c>
      <c r="D867">
        <v>2020</v>
      </c>
      <c r="E867">
        <v>350</v>
      </c>
      <c r="F867">
        <v>210</v>
      </c>
      <c r="G867">
        <v>204</v>
      </c>
      <c r="H867">
        <f>Sales[[#This Row],[Turnover]]-Sales[[#This Row],[Cost]]</f>
        <v>6</v>
      </c>
      <c r="I867" s="3">
        <f>Sales[[#This Row],[Turnover]]*1000/Sales[[#This Row],[Quantity]]</f>
        <v>600</v>
      </c>
      <c r="J867" s="5">
        <f>Sales[[#This Row],[Quantity]]/SUM(Sales[Quantity])</f>
        <v>6.3533439464431255E-4</v>
      </c>
    </row>
    <row r="868" spans="1:10" x14ac:dyDescent="0.25">
      <c r="A868" t="s">
        <v>27</v>
      </c>
      <c r="B868" t="s">
        <v>24</v>
      </c>
      <c r="C868" t="s">
        <v>18</v>
      </c>
      <c r="D868">
        <v>2020</v>
      </c>
      <c r="E868">
        <v>264</v>
      </c>
      <c r="F868">
        <v>157</v>
      </c>
      <c r="G868">
        <v>153</v>
      </c>
      <c r="H868">
        <f>Sales[[#This Row],[Turnover]]-Sales[[#This Row],[Cost]]</f>
        <v>4</v>
      </c>
      <c r="I868" s="3">
        <f>Sales[[#This Row],[Turnover]]*1000/Sales[[#This Row],[Quantity]]</f>
        <v>594.69696969696975</v>
      </c>
      <c r="J868" s="5">
        <f>Sales[[#This Row],[Quantity]]/SUM(Sales[Quantity])</f>
        <v>4.7922365767456718E-4</v>
      </c>
    </row>
    <row r="869" spans="1:10" x14ac:dyDescent="0.25">
      <c r="A869" t="s">
        <v>27</v>
      </c>
      <c r="B869" t="s">
        <v>24</v>
      </c>
      <c r="C869" t="s">
        <v>4</v>
      </c>
      <c r="D869">
        <v>2020</v>
      </c>
      <c r="E869">
        <v>308</v>
      </c>
      <c r="F869">
        <v>186</v>
      </c>
      <c r="G869">
        <v>179</v>
      </c>
      <c r="H869">
        <f>Sales[[#This Row],[Turnover]]-Sales[[#This Row],[Cost]]</f>
        <v>7</v>
      </c>
      <c r="I869" s="3">
        <f>Sales[[#This Row],[Turnover]]*1000/Sales[[#This Row],[Quantity]]</f>
        <v>603.89610389610391</v>
      </c>
      <c r="J869" s="5">
        <f>Sales[[#This Row],[Quantity]]/SUM(Sales[Quantity])</f>
        <v>5.5909426728699505E-4</v>
      </c>
    </row>
    <row r="870" spans="1:10" x14ac:dyDescent="0.25">
      <c r="A870" t="s">
        <v>27</v>
      </c>
      <c r="B870" t="s">
        <v>24</v>
      </c>
      <c r="C870" t="s">
        <v>19</v>
      </c>
      <c r="D870">
        <v>2020</v>
      </c>
      <c r="E870">
        <v>253</v>
      </c>
      <c r="F870">
        <v>151</v>
      </c>
      <c r="G870">
        <v>147</v>
      </c>
      <c r="H870">
        <f>Sales[[#This Row],[Turnover]]-Sales[[#This Row],[Cost]]</f>
        <v>4</v>
      </c>
      <c r="I870" s="3">
        <f>Sales[[#This Row],[Turnover]]*1000/Sales[[#This Row],[Quantity]]</f>
        <v>596.83794466403162</v>
      </c>
      <c r="J870" s="5">
        <f>Sales[[#This Row],[Quantity]]/SUM(Sales[Quantity])</f>
        <v>4.5925600527146025E-4</v>
      </c>
    </row>
    <row r="871" spans="1:10" x14ac:dyDescent="0.25">
      <c r="A871" t="s">
        <v>28</v>
      </c>
      <c r="B871" t="s">
        <v>24</v>
      </c>
      <c r="C871" t="s">
        <v>12</v>
      </c>
      <c r="D871">
        <v>2020</v>
      </c>
      <c r="E871">
        <v>330</v>
      </c>
      <c r="F871">
        <v>231</v>
      </c>
      <c r="G871">
        <v>199</v>
      </c>
      <c r="H871">
        <f>Sales[[#This Row],[Turnover]]-Sales[[#This Row],[Cost]]</f>
        <v>32</v>
      </c>
      <c r="I871" s="3">
        <f>Sales[[#This Row],[Turnover]]*1000/Sales[[#This Row],[Quantity]]</f>
        <v>700</v>
      </c>
      <c r="J871" s="5">
        <f>Sales[[#This Row],[Quantity]]/SUM(Sales[Quantity])</f>
        <v>5.9902957209320901E-4</v>
      </c>
    </row>
    <row r="872" spans="1:10" x14ac:dyDescent="0.25">
      <c r="A872" t="s">
        <v>28</v>
      </c>
      <c r="B872" t="s">
        <v>24</v>
      </c>
      <c r="C872" t="s">
        <v>13</v>
      </c>
      <c r="D872">
        <v>2020</v>
      </c>
      <c r="E872">
        <v>310</v>
      </c>
      <c r="F872">
        <v>218</v>
      </c>
      <c r="G872">
        <v>187</v>
      </c>
      <c r="H872">
        <f>Sales[[#This Row],[Turnover]]-Sales[[#This Row],[Cost]]</f>
        <v>31</v>
      </c>
      <c r="I872" s="3">
        <f>Sales[[#This Row],[Turnover]]*1000/Sales[[#This Row],[Quantity]]</f>
        <v>703.22580645161293</v>
      </c>
      <c r="J872" s="5">
        <f>Sales[[#This Row],[Quantity]]/SUM(Sales[Quantity])</f>
        <v>5.6272474954210537E-4</v>
      </c>
    </row>
    <row r="873" spans="1:10" x14ac:dyDescent="0.25">
      <c r="A873" t="s">
        <v>28</v>
      </c>
      <c r="B873" t="s">
        <v>24</v>
      </c>
      <c r="C873" t="s">
        <v>16</v>
      </c>
      <c r="D873">
        <v>2020</v>
      </c>
      <c r="E873">
        <v>343</v>
      </c>
      <c r="F873">
        <v>240</v>
      </c>
      <c r="G873">
        <v>206</v>
      </c>
      <c r="H873">
        <f>Sales[[#This Row],[Turnover]]-Sales[[#This Row],[Cost]]</f>
        <v>34</v>
      </c>
      <c r="I873" s="3">
        <f>Sales[[#This Row],[Turnover]]*1000/Sales[[#This Row],[Quantity]]</f>
        <v>699.7084548104956</v>
      </c>
      <c r="J873" s="5">
        <f>Sales[[#This Row],[Quantity]]/SUM(Sales[Quantity])</f>
        <v>6.2262770675142632E-4</v>
      </c>
    </row>
    <row r="874" spans="1:10" x14ac:dyDescent="0.25">
      <c r="A874" t="s">
        <v>28</v>
      </c>
      <c r="B874" t="s">
        <v>24</v>
      </c>
      <c r="C874" t="s">
        <v>1</v>
      </c>
      <c r="D874">
        <v>2020</v>
      </c>
      <c r="E874">
        <v>339</v>
      </c>
      <c r="F874">
        <v>237</v>
      </c>
      <c r="G874">
        <v>204</v>
      </c>
      <c r="H874">
        <f>Sales[[#This Row],[Turnover]]-Sales[[#This Row],[Cost]]</f>
        <v>33</v>
      </c>
      <c r="I874" s="3">
        <f>Sales[[#This Row],[Turnover]]*1000/Sales[[#This Row],[Quantity]]</f>
        <v>699.11504424778764</v>
      </c>
      <c r="J874" s="5">
        <f>Sales[[#This Row],[Quantity]]/SUM(Sales[Quantity])</f>
        <v>6.1536674224120557E-4</v>
      </c>
    </row>
    <row r="875" spans="1:10" x14ac:dyDescent="0.25">
      <c r="A875" t="s">
        <v>28</v>
      </c>
      <c r="B875" t="s">
        <v>24</v>
      </c>
      <c r="C875" t="s">
        <v>17</v>
      </c>
      <c r="D875">
        <v>2020</v>
      </c>
      <c r="E875">
        <v>343</v>
      </c>
      <c r="F875">
        <v>240</v>
      </c>
      <c r="G875">
        <v>206</v>
      </c>
      <c r="H875">
        <f>Sales[[#This Row],[Turnover]]-Sales[[#This Row],[Cost]]</f>
        <v>34</v>
      </c>
      <c r="I875" s="3">
        <f>Sales[[#This Row],[Turnover]]*1000/Sales[[#This Row],[Quantity]]</f>
        <v>699.7084548104956</v>
      </c>
      <c r="J875" s="5">
        <f>Sales[[#This Row],[Quantity]]/SUM(Sales[Quantity])</f>
        <v>6.2262770675142632E-4</v>
      </c>
    </row>
    <row r="876" spans="1:10" x14ac:dyDescent="0.25">
      <c r="A876" t="s">
        <v>28</v>
      </c>
      <c r="B876" t="s">
        <v>24</v>
      </c>
      <c r="C876" t="s">
        <v>15</v>
      </c>
      <c r="D876">
        <v>2020</v>
      </c>
      <c r="E876">
        <v>336</v>
      </c>
      <c r="F876">
        <v>236</v>
      </c>
      <c r="G876">
        <v>202</v>
      </c>
      <c r="H876">
        <f>Sales[[#This Row],[Turnover]]-Sales[[#This Row],[Cost]]</f>
        <v>34</v>
      </c>
      <c r="I876" s="3">
        <f>Sales[[#This Row],[Turnover]]*1000/Sales[[#This Row],[Quantity]]</f>
        <v>702.38095238095241</v>
      </c>
      <c r="J876" s="5">
        <f>Sales[[#This Row],[Quantity]]/SUM(Sales[Quantity])</f>
        <v>6.0992101885854009E-4</v>
      </c>
    </row>
    <row r="877" spans="1:10" x14ac:dyDescent="0.25">
      <c r="A877" t="s">
        <v>28</v>
      </c>
      <c r="B877" t="s">
        <v>24</v>
      </c>
      <c r="C877" t="s">
        <v>14</v>
      </c>
      <c r="D877">
        <v>2020</v>
      </c>
      <c r="E877">
        <v>316</v>
      </c>
      <c r="F877">
        <v>221</v>
      </c>
      <c r="G877">
        <v>190</v>
      </c>
      <c r="H877">
        <f>Sales[[#This Row],[Turnover]]-Sales[[#This Row],[Cost]]</f>
        <v>31</v>
      </c>
      <c r="I877" s="3">
        <f>Sales[[#This Row],[Turnover]]*1000/Sales[[#This Row],[Quantity]]</f>
        <v>699.36708860759495</v>
      </c>
      <c r="J877" s="5">
        <f>Sales[[#This Row],[Quantity]]/SUM(Sales[Quantity])</f>
        <v>5.7361619630743655E-4</v>
      </c>
    </row>
    <row r="878" spans="1:10" x14ac:dyDescent="0.25">
      <c r="A878" t="s">
        <v>28</v>
      </c>
      <c r="B878" t="s">
        <v>24</v>
      </c>
      <c r="C878" t="s">
        <v>2</v>
      </c>
      <c r="D878">
        <v>2020</v>
      </c>
      <c r="E878">
        <v>317</v>
      </c>
      <c r="F878">
        <v>220</v>
      </c>
      <c r="G878">
        <v>191</v>
      </c>
      <c r="H878">
        <f>Sales[[#This Row],[Turnover]]-Sales[[#This Row],[Cost]]</f>
        <v>29</v>
      </c>
      <c r="I878" s="3">
        <f>Sales[[#This Row],[Turnover]]*1000/Sales[[#This Row],[Quantity]]</f>
        <v>694.00630914826502</v>
      </c>
      <c r="J878" s="5">
        <f>Sales[[#This Row],[Quantity]]/SUM(Sales[Quantity])</f>
        <v>5.7543143743499171E-4</v>
      </c>
    </row>
    <row r="879" spans="1:10" x14ac:dyDescent="0.25">
      <c r="A879" t="s">
        <v>28</v>
      </c>
      <c r="B879" t="s">
        <v>24</v>
      </c>
      <c r="C879" t="s">
        <v>3</v>
      </c>
      <c r="D879">
        <v>2020</v>
      </c>
      <c r="E879">
        <v>312</v>
      </c>
      <c r="F879">
        <v>219</v>
      </c>
      <c r="G879">
        <v>188</v>
      </c>
      <c r="H879">
        <f>Sales[[#This Row],[Turnover]]-Sales[[#This Row],[Cost]]</f>
        <v>31</v>
      </c>
      <c r="I879" s="3">
        <f>Sales[[#This Row],[Turnover]]*1000/Sales[[#This Row],[Quantity]]</f>
        <v>701.92307692307691</v>
      </c>
      <c r="J879" s="5">
        <f>Sales[[#This Row],[Quantity]]/SUM(Sales[Quantity])</f>
        <v>5.663552317972158E-4</v>
      </c>
    </row>
    <row r="880" spans="1:10" x14ac:dyDescent="0.25">
      <c r="A880" t="s">
        <v>28</v>
      </c>
      <c r="B880" t="s">
        <v>24</v>
      </c>
      <c r="C880" t="s">
        <v>18</v>
      </c>
      <c r="D880">
        <v>2020</v>
      </c>
      <c r="E880">
        <v>390</v>
      </c>
      <c r="F880">
        <v>270</v>
      </c>
      <c r="G880">
        <v>235</v>
      </c>
      <c r="H880">
        <f>Sales[[#This Row],[Turnover]]-Sales[[#This Row],[Cost]]</f>
        <v>35</v>
      </c>
      <c r="I880" s="3">
        <f>Sales[[#This Row],[Turnover]]*1000/Sales[[#This Row],[Quantity]]</f>
        <v>692.30769230769226</v>
      </c>
      <c r="J880" s="5">
        <f>Sales[[#This Row],[Quantity]]/SUM(Sales[Quantity])</f>
        <v>7.0794403974651973E-4</v>
      </c>
    </row>
    <row r="881" spans="1:10" x14ac:dyDescent="0.25">
      <c r="A881" t="s">
        <v>28</v>
      </c>
      <c r="B881" t="s">
        <v>24</v>
      </c>
      <c r="C881" t="s">
        <v>4</v>
      </c>
      <c r="D881">
        <v>2020</v>
      </c>
      <c r="E881">
        <v>334</v>
      </c>
      <c r="F881">
        <v>232</v>
      </c>
      <c r="G881">
        <v>201</v>
      </c>
      <c r="H881">
        <f>Sales[[#This Row],[Turnover]]-Sales[[#This Row],[Cost]]</f>
        <v>31</v>
      </c>
      <c r="I881" s="3">
        <f>Sales[[#This Row],[Turnover]]*1000/Sales[[#This Row],[Quantity]]</f>
        <v>694.61077844311376</v>
      </c>
      <c r="J881" s="5">
        <f>Sales[[#This Row],[Quantity]]/SUM(Sales[Quantity])</f>
        <v>6.0629053660342977E-4</v>
      </c>
    </row>
    <row r="882" spans="1:10" x14ac:dyDescent="0.25">
      <c r="A882" t="s">
        <v>28</v>
      </c>
      <c r="B882" t="s">
        <v>24</v>
      </c>
      <c r="C882" t="s">
        <v>19</v>
      </c>
      <c r="D882">
        <v>2020</v>
      </c>
      <c r="E882">
        <v>388</v>
      </c>
      <c r="F882">
        <v>273</v>
      </c>
      <c r="G882">
        <v>233</v>
      </c>
      <c r="H882">
        <f>Sales[[#This Row],[Turnover]]-Sales[[#This Row],[Cost]]</f>
        <v>40</v>
      </c>
      <c r="I882" s="3">
        <f>Sales[[#This Row],[Turnover]]*1000/Sales[[#This Row],[Quantity]]</f>
        <v>703.60824742268039</v>
      </c>
      <c r="J882" s="5">
        <f>Sales[[#This Row],[Quantity]]/SUM(Sales[Quantity])</f>
        <v>7.043135574914094E-4</v>
      </c>
    </row>
    <row r="883" spans="1:10" x14ac:dyDescent="0.25">
      <c r="A883" t="s">
        <v>29</v>
      </c>
      <c r="B883" t="s">
        <v>24</v>
      </c>
      <c r="C883" t="s">
        <v>12</v>
      </c>
      <c r="D883">
        <v>2020</v>
      </c>
      <c r="E883">
        <v>96</v>
      </c>
      <c r="F883">
        <v>870</v>
      </c>
      <c r="G883">
        <v>309</v>
      </c>
      <c r="H883">
        <f>Sales[[#This Row],[Turnover]]-Sales[[#This Row],[Cost]]</f>
        <v>561</v>
      </c>
      <c r="I883" s="3">
        <f>Sales[[#This Row],[Turnover]]*1000/Sales[[#This Row],[Quantity]]</f>
        <v>9062.5</v>
      </c>
      <c r="J883" s="5">
        <f>Sales[[#This Row],[Quantity]]/SUM(Sales[Quantity])</f>
        <v>1.7426314824529716E-4</v>
      </c>
    </row>
    <row r="884" spans="1:10" x14ac:dyDescent="0.25">
      <c r="A884" t="s">
        <v>29</v>
      </c>
      <c r="B884" t="s">
        <v>24</v>
      </c>
      <c r="C884" t="s">
        <v>13</v>
      </c>
      <c r="D884">
        <v>2020</v>
      </c>
      <c r="E884">
        <v>126</v>
      </c>
      <c r="F884">
        <v>1128</v>
      </c>
      <c r="G884">
        <v>408</v>
      </c>
      <c r="H884">
        <f>Sales[[#This Row],[Turnover]]-Sales[[#This Row],[Cost]]</f>
        <v>720</v>
      </c>
      <c r="I884" s="3">
        <f>Sales[[#This Row],[Turnover]]*1000/Sales[[#This Row],[Quantity]]</f>
        <v>8952.3809523809523</v>
      </c>
      <c r="J884" s="5">
        <f>Sales[[#This Row],[Quantity]]/SUM(Sales[Quantity])</f>
        <v>2.2872038207195252E-4</v>
      </c>
    </row>
    <row r="885" spans="1:10" x14ac:dyDescent="0.25">
      <c r="A885" t="s">
        <v>29</v>
      </c>
      <c r="B885" t="s">
        <v>24</v>
      </c>
      <c r="C885" t="s">
        <v>16</v>
      </c>
      <c r="D885">
        <v>2020</v>
      </c>
      <c r="E885">
        <v>141</v>
      </c>
      <c r="F885">
        <v>1263</v>
      </c>
      <c r="G885">
        <v>454</v>
      </c>
      <c r="H885">
        <f>Sales[[#This Row],[Turnover]]-Sales[[#This Row],[Cost]]</f>
        <v>809</v>
      </c>
      <c r="I885" s="3">
        <f>Sales[[#This Row],[Turnover]]*1000/Sales[[#This Row],[Quantity]]</f>
        <v>8957.4468085106382</v>
      </c>
      <c r="J885" s="5">
        <f>Sales[[#This Row],[Quantity]]/SUM(Sales[Quantity])</f>
        <v>2.5594899898528022E-4</v>
      </c>
    </row>
    <row r="886" spans="1:10" x14ac:dyDescent="0.25">
      <c r="A886" t="s">
        <v>29</v>
      </c>
      <c r="B886" t="s">
        <v>24</v>
      </c>
      <c r="C886" t="s">
        <v>1</v>
      </c>
      <c r="D886">
        <v>2020</v>
      </c>
      <c r="E886">
        <v>147</v>
      </c>
      <c r="F886">
        <v>1164</v>
      </c>
      <c r="G886">
        <v>474</v>
      </c>
      <c r="H886">
        <f>Sales[[#This Row],[Turnover]]-Sales[[#This Row],[Cost]]</f>
        <v>690</v>
      </c>
      <c r="I886" s="3">
        <f>Sales[[#This Row],[Turnover]]*1000/Sales[[#This Row],[Quantity]]</f>
        <v>7918.3673469387759</v>
      </c>
      <c r="J886" s="5">
        <f>Sales[[#This Row],[Quantity]]/SUM(Sales[Quantity])</f>
        <v>2.6684044575061129E-4</v>
      </c>
    </row>
    <row r="887" spans="1:10" x14ac:dyDescent="0.25">
      <c r="A887" t="s">
        <v>29</v>
      </c>
      <c r="B887" t="s">
        <v>24</v>
      </c>
      <c r="C887" t="s">
        <v>17</v>
      </c>
      <c r="D887">
        <v>2020</v>
      </c>
      <c r="E887">
        <v>163</v>
      </c>
      <c r="F887">
        <v>1303</v>
      </c>
      <c r="G887">
        <v>527</v>
      </c>
      <c r="H887">
        <f>Sales[[#This Row],[Turnover]]-Sales[[#This Row],[Cost]]</f>
        <v>776</v>
      </c>
      <c r="I887" s="3">
        <f>Sales[[#This Row],[Turnover]]*1000/Sales[[#This Row],[Quantity]]</f>
        <v>7993.8650306748468</v>
      </c>
      <c r="J887" s="5">
        <f>Sales[[#This Row],[Quantity]]/SUM(Sales[Quantity])</f>
        <v>2.9588430379149413E-4</v>
      </c>
    </row>
    <row r="888" spans="1:10" x14ac:dyDescent="0.25">
      <c r="A888" t="s">
        <v>29</v>
      </c>
      <c r="B888" t="s">
        <v>24</v>
      </c>
      <c r="C888" t="s">
        <v>15</v>
      </c>
      <c r="D888">
        <v>2020</v>
      </c>
      <c r="E888">
        <v>195</v>
      </c>
      <c r="F888">
        <v>1558</v>
      </c>
      <c r="G888">
        <v>631</v>
      </c>
      <c r="H888">
        <f>Sales[[#This Row],[Turnover]]-Sales[[#This Row],[Cost]]</f>
        <v>927</v>
      </c>
      <c r="I888" s="3">
        <f>Sales[[#This Row],[Turnover]]*1000/Sales[[#This Row],[Quantity]]</f>
        <v>7989.7435897435898</v>
      </c>
      <c r="J888" s="5">
        <f>Sales[[#This Row],[Quantity]]/SUM(Sales[Quantity])</f>
        <v>3.5397201987325986E-4</v>
      </c>
    </row>
    <row r="889" spans="1:10" x14ac:dyDescent="0.25">
      <c r="A889" t="s">
        <v>29</v>
      </c>
      <c r="B889" t="s">
        <v>24</v>
      </c>
      <c r="C889" t="s">
        <v>14</v>
      </c>
      <c r="D889">
        <v>2020</v>
      </c>
      <c r="E889">
        <v>172</v>
      </c>
      <c r="F889">
        <v>1384</v>
      </c>
      <c r="G889">
        <v>556</v>
      </c>
      <c r="H889">
        <f>Sales[[#This Row],[Turnover]]-Sales[[#This Row],[Cost]]</f>
        <v>828</v>
      </c>
      <c r="I889" s="3">
        <f>Sales[[#This Row],[Turnover]]*1000/Sales[[#This Row],[Quantity]]</f>
        <v>8046.5116279069771</v>
      </c>
      <c r="J889" s="5">
        <f>Sales[[#This Row],[Quantity]]/SUM(Sales[Quantity])</f>
        <v>3.1222147393949074E-4</v>
      </c>
    </row>
    <row r="890" spans="1:10" x14ac:dyDescent="0.25">
      <c r="A890" t="s">
        <v>29</v>
      </c>
      <c r="B890" t="s">
        <v>24</v>
      </c>
      <c r="C890" t="s">
        <v>2</v>
      </c>
      <c r="D890">
        <v>2020</v>
      </c>
      <c r="E890">
        <v>188</v>
      </c>
      <c r="F890">
        <v>1503</v>
      </c>
      <c r="G890">
        <v>606</v>
      </c>
      <c r="H890">
        <f>Sales[[#This Row],[Turnover]]-Sales[[#This Row],[Cost]]</f>
        <v>897</v>
      </c>
      <c r="I890" s="3">
        <f>Sales[[#This Row],[Turnover]]*1000/Sales[[#This Row],[Quantity]]</f>
        <v>7994.6808510638302</v>
      </c>
      <c r="J890" s="5">
        <f>Sales[[#This Row],[Quantity]]/SUM(Sales[Quantity])</f>
        <v>3.4126533198037363E-4</v>
      </c>
    </row>
    <row r="891" spans="1:10" x14ac:dyDescent="0.25">
      <c r="A891" t="s">
        <v>29</v>
      </c>
      <c r="B891" t="s">
        <v>24</v>
      </c>
      <c r="C891" t="s">
        <v>3</v>
      </c>
      <c r="D891">
        <v>2020</v>
      </c>
      <c r="E891">
        <v>146</v>
      </c>
      <c r="F891">
        <v>1158</v>
      </c>
      <c r="G891">
        <v>472</v>
      </c>
      <c r="H891">
        <f>Sales[[#This Row],[Turnover]]-Sales[[#This Row],[Cost]]</f>
        <v>686</v>
      </c>
      <c r="I891" s="3">
        <f>Sales[[#This Row],[Turnover]]*1000/Sales[[#This Row],[Quantity]]</f>
        <v>7931.5068493150684</v>
      </c>
      <c r="J891" s="5">
        <f>Sales[[#This Row],[Quantity]]/SUM(Sales[Quantity])</f>
        <v>2.6502520462305608E-4</v>
      </c>
    </row>
    <row r="892" spans="1:10" x14ac:dyDescent="0.25">
      <c r="A892" t="s">
        <v>29</v>
      </c>
      <c r="B892" t="s">
        <v>24</v>
      </c>
      <c r="C892" t="s">
        <v>18</v>
      </c>
      <c r="D892">
        <v>2020</v>
      </c>
      <c r="E892">
        <v>166</v>
      </c>
      <c r="F892">
        <v>1321</v>
      </c>
      <c r="G892">
        <v>538</v>
      </c>
      <c r="H892">
        <f>Sales[[#This Row],[Turnover]]-Sales[[#This Row],[Cost]]</f>
        <v>783</v>
      </c>
      <c r="I892" s="3">
        <f>Sales[[#This Row],[Turnover]]*1000/Sales[[#This Row],[Quantity]]</f>
        <v>7957.8313253012047</v>
      </c>
      <c r="J892" s="5">
        <f>Sales[[#This Row],[Quantity]]/SUM(Sales[Quantity])</f>
        <v>3.0133002717415967E-4</v>
      </c>
    </row>
    <row r="893" spans="1:10" x14ac:dyDescent="0.25">
      <c r="A893" t="s">
        <v>29</v>
      </c>
      <c r="B893" t="s">
        <v>24</v>
      </c>
      <c r="C893" t="s">
        <v>4</v>
      </c>
      <c r="D893">
        <v>2020</v>
      </c>
      <c r="E893">
        <v>127</v>
      </c>
      <c r="F893">
        <v>1012</v>
      </c>
      <c r="G893">
        <v>410</v>
      </c>
      <c r="H893">
        <f>Sales[[#This Row],[Turnover]]-Sales[[#This Row],[Cost]]</f>
        <v>602</v>
      </c>
      <c r="I893" s="3">
        <f>Sales[[#This Row],[Turnover]]*1000/Sales[[#This Row],[Quantity]]</f>
        <v>7968.5039370078739</v>
      </c>
      <c r="J893" s="5">
        <f>Sales[[#This Row],[Quantity]]/SUM(Sales[Quantity])</f>
        <v>2.3053562319950771E-4</v>
      </c>
    </row>
    <row r="894" spans="1:10" x14ac:dyDescent="0.25">
      <c r="A894" t="s">
        <v>29</v>
      </c>
      <c r="B894" t="s">
        <v>24</v>
      </c>
      <c r="C894" t="s">
        <v>19</v>
      </c>
      <c r="D894">
        <v>2020</v>
      </c>
      <c r="E894">
        <v>187</v>
      </c>
      <c r="F894">
        <v>1498</v>
      </c>
      <c r="G894">
        <v>603</v>
      </c>
      <c r="H894">
        <f>Sales[[#This Row],[Turnover]]-Sales[[#This Row],[Cost]]</f>
        <v>895</v>
      </c>
      <c r="I894" s="3">
        <f>Sales[[#This Row],[Turnover]]*1000/Sales[[#This Row],[Quantity]]</f>
        <v>8010.6951871657757</v>
      </c>
      <c r="J894" s="5">
        <f>Sales[[#This Row],[Quantity]]/SUM(Sales[Quantity])</f>
        <v>3.3945009085281842E-4</v>
      </c>
    </row>
    <row r="895" spans="1:10" x14ac:dyDescent="0.25">
      <c r="A895" t="s">
        <v>30</v>
      </c>
      <c r="B895" t="s">
        <v>24</v>
      </c>
      <c r="C895" t="s">
        <v>13</v>
      </c>
      <c r="D895">
        <v>2020</v>
      </c>
      <c r="E895">
        <v>174</v>
      </c>
      <c r="F895">
        <v>521</v>
      </c>
      <c r="G895">
        <v>268</v>
      </c>
      <c r="H895">
        <f>Sales[[#This Row],[Turnover]]-Sales[[#This Row],[Cost]]</f>
        <v>253</v>
      </c>
      <c r="I895" s="3">
        <f>Sales[[#This Row],[Turnover]]*1000/Sales[[#This Row],[Quantity]]</f>
        <v>2994.2528735632186</v>
      </c>
      <c r="J895" s="5">
        <f>Sales[[#This Row],[Quantity]]/SUM(Sales[Quantity])</f>
        <v>3.1585195619460111E-4</v>
      </c>
    </row>
    <row r="896" spans="1:10" x14ac:dyDescent="0.25">
      <c r="A896" t="s">
        <v>30</v>
      </c>
      <c r="B896" t="s">
        <v>24</v>
      </c>
      <c r="C896" t="s">
        <v>16</v>
      </c>
      <c r="D896">
        <v>2020</v>
      </c>
      <c r="E896">
        <v>179</v>
      </c>
      <c r="F896">
        <v>538</v>
      </c>
      <c r="G896">
        <v>276</v>
      </c>
      <c r="H896">
        <f>Sales[[#This Row],[Turnover]]-Sales[[#This Row],[Cost]]</f>
        <v>262</v>
      </c>
      <c r="I896" s="3">
        <f>Sales[[#This Row],[Turnover]]*1000/Sales[[#This Row],[Quantity]]</f>
        <v>3005.5865921787708</v>
      </c>
      <c r="J896" s="5">
        <f>Sales[[#This Row],[Quantity]]/SUM(Sales[Quantity])</f>
        <v>3.2492816183237702E-4</v>
      </c>
    </row>
    <row r="897" spans="1:10" x14ac:dyDescent="0.25">
      <c r="A897" t="s">
        <v>30</v>
      </c>
      <c r="B897" t="s">
        <v>24</v>
      </c>
      <c r="C897" t="s">
        <v>1</v>
      </c>
      <c r="D897">
        <v>2020</v>
      </c>
      <c r="E897">
        <v>201</v>
      </c>
      <c r="F897">
        <v>606</v>
      </c>
      <c r="G897">
        <v>311</v>
      </c>
      <c r="H897">
        <f>Sales[[#This Row],[Turnover]]-Sales[[#This Row],[Cost]]</f>
        <v>295</v>
      </c>
      <c r="I897" s="3">
        <f>Sales[[#This Row],[Turnover]]*1000/Sales[[#This Row],[Quantity]]</f>
        <v>3014.9253731343283</v>
      </c>
      <c r="J897" s="5">
        <f>Sales[[#This Row],[Quantity]]/SUM(Sales[Quantity])</f>
        <v>3.6486346663859093E-4</v>
      </c>
    </row>
    <row r="898" spans="1:10" x14ac:dyDescent="0.25">
      <c r="A898" t="s">
        <v>30</v>
      </c>
      <c r="B898" t="s">
        <v>24</v>
      </c>
      <c r="C898" t="s">
        <v>17</v>
      </c>
      <c r="D898">
        <v>2020</v>
      </c>
      <c r="E898">
        <v>196</v>
      </c>
      <c r="F898">
        <v>588</v>
      </c>
      <c r="G898">
        <v>302</v>
      </c>
      <c r="H898">
        <f>Sales[[#This Row],[Turnover]]-Sales[[#This Row],[Cost]]</f>
        <v>286</v>
      </c>
      <c r="I898" s="3">
        <f>Sales[[#This Row],[Turnover]]*1000/Sales[[#This Row],[Quantity]]</f>
        <v>3000</v>
      </c>
      <c r="J898" s="5">
        <f>Sales[[#This Row],[Quantity]]/SUM(Sales[Quantity])</f>
        <v>3.5578726100081502E-4</v>
      </c>
    </row>
    <row r="899" spans="1:10" x14ac:dyDescent="0.25">
      <c r="A899" t="s">
        <v>30</v>
      </c>
      <c r="B899" t="s">
        <v>24</v>
      </c>
      <c r="C899" t="s">
        <v>15</v>
      </c>
      <c r="D899">
        <v>2020</v>
      </c>
      <c r="E899">
        <v>148</v>
      </c>
      <c r="F899">
        <v>444</v>
      </c>
      <c r="G899">
        <v>229</v>
      </c>
      <c r="H899">
        <f>Sales[[#This Row],[Turnover]]-Sales[[#This Row],[Cost]]</f>
        <v>215</v>
      </c>
      <c r="I899" s="3">
        <f>Sales[[#This Row],[Turnover]]*1000/Sales[[#This Row],[Quantity]]</f>
        <v>3000</v>
      </c>
      <c r="J899" s="5">
        <f>Sales[[#This Row],[Quantity]]/SUM(Sales[Quantity])</f>
        <v>2.6865568687816645E-4</v>
      </c>
    </row>
    <row r="900" spans="1:10" x14ac:dyDescent="0.25">
      <c r="A900" t="s">
        <v>30</v>
      </c>
      <c r="B900" t="s">
        <v>24</v>
      </c>
      <c r="C900" t="s">
        <v>14</v>
      </c>
      <c r="D900">
        <v>2020</v>
      </c>
      <c r="E900">
        <v>227</v>
      </c>
      <c r="F900">
        <v>627</v>
      </c>
      <c r="G900">
        <v>349</v>
      </c>
      <c r="H900">
        <f>Sales[[#This Row],[Turnover]]-Sales[[#This Row],[Cost]]</f>
        <v>278</v>
      </c>
      <c r="I900" s="3">
        <f>Sales[[#This Row],[Turnover]]*1000/Sales[[#This Row],[Quantity]]</f>
        <v>2762.1145374449338</v>
      </c>
      <c r="J900" s="5">
        <f>Sales[[#This Row],[Quantity]]/SUM(Sales[Quantity])</f>
        <v>4.1205973595502559E-4</v>
      </c>
    </row>
    <row r="901" spans="1:10" x14ac:dyDescent="0.25">
      <c r="A901" t="s">
        <v>30</v>
      </c>
      <c r="B901" t="s">
        <v>24</v>
      </c>
      <c r="C901" t="s">
        <v>2</v>
      </c>
      <c r="D901">
        <v>2020</v>
      </c>
      <c r="E901">
        <v>219</v>
      </c>
      <c r="F901">
        <v>603</v>
      </c>
      <c r="G901">
        <v>338</v>
      </c>
      <c r="H901">
        <f>Sales[[#This Row],[Turnover]]-Sales[[#This Row],[Cost]]</f>
        <v>265</v>
      </c>
      <c r="I901" s="3">
        <f>Sales[[#This Row],[Turnover]]*1000/Sales[[#This Row],[Quantity]]</f>
        <v>2753.4246575342468</v>
      </c>
      <c r="J901" s="5">
        <f>Sales[[#This Row],[Quantity]]/SUM(Sales[Quantity])</f>
        <v>3.9753780693458415E-4</v>
      </c>
    </row>
    <row r="902" spans="1:10" x14ac:dyDescent="0.25">
      <c r="A902" t="s">
        <v>30</v>
      </c>
      <c r="B902" t="s">
        <v>24</v>
      </c>
      <c r="C902" t="s">
        <v>3</v>
      </c>
      <c r="D902">
        <v>2020</v>
      </c>
      <c r="E902">
        <v>209</v>
      </c>
      <c r="F902">
        <v>569</v>
      </c>
      <c r="G902">
        <v>322</v>
      </c>
      <c r="H902">
        <f>Sales[[#This Row],[Turnover]]-Sales[[#This Row],[Cost]]</f>
        <v>247</v>
      </c>
      <c r="I902" s="3">
        <f>Sales[[#This Row],[Turnover]]*1000/Sales[[#This Row],[Quantity]]</f>
        <v>2722.4880382775118</v>
      </c>
      <c r="J902" s="5">
        <f>Sales[[#This Row],[Quantity]]/SUM(Sales[Quantity])</f>
        <v>3.7938539565903238E-4</v>
      </c>
    </row>
    <row r="903" spans="1:10" x14ac:dyDescent="0.25">
      <c r="A903" t="s">
        <v>30</v>
      </c>
      <c r="B903" t="s">
        <v>24</v>
      </c>
      <c r="C903" t="s">
        <v>18</v>
      </c>
      <c r="D903">
        <v>2020</v>
      </c>
      <c r="E903">
        <v>246</v>
      </c>
      <c r="F903">
        <v>677</v>
      </c>
      <c r="G903">
        <v>380</v>
      </c>
      <c r="H903">
        <f>Sales[[#This Row],[Turnover]]-Sales[[#This Row],[Cost]]</f>
        <v>297</v>
      </c>
      <c r="I903" s="3">
        <f>Sales[[#This Row],[Turnover]]*1000/Sales[[#This Row],[Quantity]]</f>
        <v>2752.0325203252032</v>
      </c>
      <c r="J903" s="5">
        <f>Sales[[#This Row],[Quantity]]/SUM(Sales[Quantity])</f>
        <v>4.4654931737857397E-4</v>
      </c>
    </row>
    <row r="904" spans="1:10" x14ac:dyDescent="0.25">
      <c r="A904" t="s">
        <v>30</v>
      </c>
      <c r="B904" t="s">
        <v>24</v>
      </c>
      <c r="C904" t="s">
        <v>4</v>
      </c>
      <c r="D904">
        <v>2020</v>
      </c>
      <c r="E904">
        <v>183</v>
      </c>
      <c r="F904">
        <v>508</v>
      </c>
      <c r="G904">
        <v>282</v>
      </c>
      <c r="H904">
        <f>Sales[[#This Row],[Turnover]]-Sales[[#This Row],[Cost]]</f>
        <v>226</v>
      </c>
      <c r="I904" s="3">
        <f>Sales[[#This Row],[Turnover]]*1000/Sales[[#This Row],[Quantity]]</f>
        <v>2775.9562841530055</v>
      </c>
      <c r="J904" s="5">
        <f>Sales[[#This Row],[Quantity]]/SUM(Sales[Quantity])</f>
        <v>3.3218912634259772E-4</v>
      </c>
    </row>
    <row r="905" spans="1:10" x14ac:dyDescent="0.25">
      <c r="A905" t="s">
        <v>30</v>
      </c>
      <c r="B905" t="s">
        <v>24</v>
      </c>
      <c r="C905" t="s">
        <v>19</v>
      </c>
      <c r="D905">
        <v>2020</v>
      </c>
      <c r="E905">
        <v>176</v>
      </c>
      <c r="F905">
        <v>482</v>
      </c>
      <c r="G905">
        <v>271</v>
      </c>
      <c r="H905">
        <f>Sales[[#This Row],[Turnover]]-Sales[[#This Row],[Cost]]</f>
        <v>211</v>
      </c>
      <c r="I905" s="3">
        <f>Sales[[#This Row],[Turnover]]*1000/Sales[[#This Row],[Quantity]]</f>
        <v>2738.6363636363635</v>
      </c>
      <c r="J905" s="5">
        <f>Sales[[#This Row],[Quantity]]/SUM(Sales[Quantity])</f>
        <v>3.1948243844971149E-4</v>
      </c>
    </row>
    <row r="906" spans="1:10" x14ac:dyDescent="0.25">
      <c r="A906" t="s">
        <v>26</v>
      </c>
      <c r="B906" t="s">
        <v>24</v>
      </c>
      <c r="C906" t="s">
        <v>17</v>
      </c>
      <c r="D906">
        <v>2020</v>
      </c>
      <c r="E906">
        <v>283</v>
      </c>
      <c r="F906">
        <v>786</v>
      </c>
      <c r="G906">
        <v>343</v>
      </c>
      <c r="H906">
        <f>Sales[[#This Row],[Turnover]]-Sales[[#This Row],[Cost]]</f>
        <v>443</v>
      </c>
      <c r="I906" s="3">
        <f>Sales[[#This Row],[Turnover]]*1000/Sales[[#This Row],[Quantity]]</f>
        <v>2777.3851590106005</v>
      </c>
      <c r="J906" s="5">
        <f>Sales[[#This Row],[Quantity]]/SUM(Sales[Quantity])</f>
        <v>5.1371323909811561E-4</v>
      </c>
    </row>
    <row r="907" spans="1:10" x14ac:dyDescent="0.25">
      <c r="A907" t="s">
        <v>26</v>
      </c>
      <c r="B907" t="s">
        <v>24</v>
      </c>
      <c r="C907" t="s">
        <v>15</v>
      </c>
      <c r="D907">
        <v>2020</v>
      </c>
      <c r="E907">
        <v>285</v>
      </c>
      <c r="F907">
        <v>799</v>
      </c>
      <c r="G907">
        <v>346</v>
      </c>
      <c r="H907">
        <f>Sales[[#This Row],[Turnover]]-Sales[[#This Row],[Cost]]</f>
        <v>453</v>
      </c>
      <c r="I907" s="3">
        <f>Sales[[#This Row],[Turnover]]*1000/Sales[[#This Row],[Quantity]]</f>
        <v>2803.5087719298244</v>
      </c>
      <c r="J907" s="5">
        <f>Sales[[#This Row],[Quantity]]/SUM(Sales[Quantity])</f>
        <v>5.1734372135322593E-4</v>
      </c>
    </row>
    <row r="908" spans="1:10" x14ac:dyDescent="0.25">
      <c r="A908" t="s">
        <v>26</v>
      </c>
      <c r="B908" t="s">
        <v>24</v>
      </c>
      <c r="C908" t="s">
        <v>14</v>
      </c>
      <c r="D908">
        <v>2020</v>
      </c>
      <c r="E908">
        <v>323</v>
      </c>
      <c r="F908">
        <v>898</v>
      </c>
      <c r="G908">
        <v>392</v>
      </c>
      <c r="H908">
        <f>Sales[[#This Row],[Turnover]]-Sales[[#This Row],[Cost]]</f>
        <v>506</v>
      </c>
      <c r="I908" s="3">
        <f>Sales[[#This Row],[Turnover]]*1000/Sales[[#This Row],[Quantity]]</f>
        <v>2780.1857585139319</v>
      </c>
      <c r="J908" s="5">
        <f>Sales[[#This Row],[Quantity]]/SUM(Sales[Quantity])</f>
        <v>5.8632288420032278E-4</v>
      </c>
    </row>
    <row r="909" spans="1:10" x14ac:dyDescent="0.25">
      <c r="A909" t="s">
        <v>26</v>
      </c>
      <c r="B909" t="s">
        <v>24</v>
      </c>
      <c r="C909" t="s">
        <v>2</v>
      </c>
      <c r="D909">
        <v>2020</v>
      </c>
      <c r="E909">
        <v>291</v>
      </c>
      <c r="F909">
        <v>816</v>
      </c>
      <c r="G909">
        <v>352</v>
      </c>
      <c r="H909">
        <f>Sales[[#This Row],[Turnover]]-Sales[[#This Row],[Cost]]</f>
        <v>464</v>
      </c>
      <c r="I909" s="3">
        <f>Sales[[#This Row],[Turnover]]*1000/Sales[[#This Row],[Quantity]]</f>
        <v>2804.1237113402062</v>
      </c>
      <c r="J909" s="5">
        <f>Sales[[#This Row],[Quantity]]/SUM(Sales[Quantity])</f>
        <v>5.28235168118557E-4</v>
      </c>
    </row>
    <row r="910" spans="1:10" x14ac:dyDescent="0.25">
      <c r="A910" t="s">
        <v>26</v>
      </c>
      <c r="B910" t="s">
        <v>24</v>
      </c>
      <c r="C910" t="s">
        <v>3</v>
      </c>
      <c r="D910">
        <v>2020</v>
      </c>
      <c r="E910">
        <v>282</v>
      </c>
      <c r="F910">
        <v>796</v>
      </c>
      <c r="G910">
        <v>342</v>
      </c>
      <c r="H910">
        <f>Sales[[#This Row],[Turnover]]-Sales[[#This Row],[Cost]]</f>
        <v>454</v>
      </c>
      <c r="I910" s="3">
        <f>Sales[[#This Row],[Turnover]]*1000/Sales[[#This Row],[Quantity]]</f>
        <v>2822.695035460993</v>
      </c>
      <c r="J910" s="5">
        <f>Sales[[#This Row],[Quantity]]/SUM(Sales[Quantity])</f>
        <v>5.1189799797056045E-4</v>
      </c>
    </row>
    <row r="911" spans="1:10" x14ac:dyDescent="0.25">
      <c r="A911" t="s">
        <v>26</v>
      </c>
      <c r="B911" t="s">
        <v>24</v>
      </c>
      <c r="C911" t="s">
        <v>18</v>
      </c>
      <c r="D911">
        <v>2020</v>
      </c>
      <c r="E911">
        <v>321</v>
      </c>
      <c r="F911">
        <v>898</v>
      </c>
      <c r="G911">
        <v>389</v>
      </c>
      <c r="H911">
        <f>Sales[[#This Row],[Turnover]]-Sales[[#This Row],[Cost]]</f>
        <v>509</v>
      </c>
      <c r="I911" s="3">
        <f>Sales[[#This Row],[Turnover]]*1000/Sales[[#This Row],[Quantity]]</f>
        <v>2797.5077881619936</v>
      </c>
      <c r="J911" s="5">
        <f>Sales[[#This Row],[Quantity]]/SUM(Sales[Quantity])</f>
        <v>5.8269240194521235E-4</v>
      </c>
    </row>
    <row r="912" spans="1:10" x14ac:dyDescent="0.25">
      <c r="A912" t="s">
        <v>26</v>
      </c>
      <c r="B912" t="s">
        <v>24</v>
      </c>
      <c r="C912" t="s">
        <v>4</v>
      </c>
      <c r="D912">
        <v>2020</v>
      </c>
      <c r="E912">
        <v>287</v>
      </c>
      <c r="F912">
        <v>805</v>
      </c>
      <c r="G912">
        <v>348</v>
      </c>
      <c r="H912">
        <f>Sales[[#This Row],[Turnover]]-Sales[[#This Row],[Cost]]</f>
        <v>457</v>
      </c>
      <c r="I912" s="3">
        <f>Sales[[#This Row],[Turnover]]*1000/Sales[[#This Row],[Quantity]]</f>
        <v>2804.8780487804879</v>
      </c>
      <c r="J912" s="5">
        <f>Sales[[#This Row],[Quantity]]/SUM(Sales[Quantity])</f>
        <v>5.2097420360833636E-4</v>
      </c>
    </row>
    <row r="913" spans="1:10" x14ac:dyDescent="0.25">
      <c r="A913" t="s">
        <v>26</v>
      </c>
      <c r="B913" t="s">
        <v>24</v>
      </c>
      <c r="C913" t="s">
        <v>19</v>
      </c>
      <c r="D913">
        <v>2020</v>
      </c>
      <c r="E913">
        <v>283</v>
      </c>
      <c r="F913">
        <v>791</v>
      </c>
      <c r="G913">
        <v>343</v>
      </c>
      <c r="H913">
        <f>Sales[[#This Row],[Turnover]]-Sales[[#This Row],[Cost]]</f>
        <v>448</v>
      </c>
      <c r="I913" s="3">
        <f>Sales[[#This Row],[Turnover]]*1000/Sales[[#This Row],[Quantity]]</f>
        <v>2795.0530035335687</v>
      </c>
      <c r="J913" s="5">
        <f>Sales[[#This Row],[Quantity]]/SUM(Sales[Quantity])</f>
        <v>5.1371323909811561E-4</v>
      </c>
    </row>
    <row r="914" spans="1:10" x14ac:dyDescent="0.25">
      <c r="A914" t="s">
        <v>27</v>
      </c>
      <c r="B914" t="s">
        <v>0</v>
      </c>
      <c r="C914" t="s">
        <v>12</v>
      </c>
      <c r="D914">
        <v>2018</v>
      </c>
      <c r="E914">
        <v>1369</v>
      </c>
      <c r="F914">
        <v>2066</v>
      </c>
      <c r="G914">
        <v>797</v>
      </c>
      <c r="H914">
        <f>Sales[[#This Row],[Turnover]]-Sales[[#This Row],[Cost]]</f>
        <v>1269</v>
      </c>
      <c r="I914" s="3">
        <f>Sales[[#This Row],[Turnover]]*1000/Sales[[#This Row],[Quantity]]</f>
        <v>1509.1307523739956</v>
      </c>
      <c r="J914" s="5">
        <f>Sales[[#This Row],[Quantity]]/SUM(Sales[Quantity])</f>
        <v>2.4850651036230397E-3</v>
      </c>
    </row>
    <row r="915" spans="1:10" x14ac:dyDescent="0.25">
      <c r="A915" t="s">
        <v>27</v>
      </c>
      <c r="B915" t="s">
        <v>0</v>
      </c>
      <c r="C915" t="s">
        <v>13</v>
      </c>
      <c r="D915">
        <v>2018</v>
      </c>
      <c r="E915">
        <v>1622</v>
      </c>
      <c r="F915">
        <v>2453</v>
      </c>
      <c r="G915">
        <v>944</v>
      </c>
      <c r="H915">
        <f>Sales[[#This Row],[Turnover]]-Sales[[#This Row],[Cost]]</f>
        <v>1509</v>
      </c>
      <c r="I915" s="3">
        <f>Sales[[#This Row],[Turnover]]*1000/Sales[[#This Row],[Quantity]]</f>
        <v>1512.3304562268804</v>
      </c>
      <c r="J915" s="5">
        <f>Sales[[#This Row],[Quantity]]/SUM(Sales[Quantity])</f>
        <v>2.9443211088944999E-3</v>
      </c>
    </row>
    <row r="916" spans="1:10" x14ac:dyDescent="0.25">
      <c r="A916" t="s">
        <v>27</v>
      </c>
      <c r="B916" t="s">
        <v>0</v>
      </c>
      <c r="C916" t="s">
        <v>16</v>
      </c>
      <c r="D916">
        <v>2018</v>
      </c>
      <c r="E916">
        <v>2182</v>
      </c>
      <c r="F916">
        <v>3285</v>
      </c>
      <c r="G916">
        <v>1270</v>
      </c>
      <c r="H916">
        <f>Sales[[#This Row],[Turnover]]-Sales[[#This Row],[Cost]]</f>
        <v>2015</v>
      </c>
      <c r="I916" s="3">
        <f>Sales[[#This Row],[Turnover]]*1000/Sales[[#This Row],[Quantity]]</f>
        <v>1505.4995417048578</v>
      </c>
      <c r="J916" s="5">
        <f>Sales[[#This Row],[Quantity]]/SUM(Sales[Quantity])</f>
        <v>3.9608561403254002E-3</v>
      </c>
    </row>
    <row r="917" spans="1:10" x14ac:dyDescent="0.25">
      <c r="A917" t="s">
        <v>27</v>
      </c>
      <c r="B917" t="s">
        <v>0</v>
      </c>
      <c r="C917" t="s">
        <v>1</v>
      </c>
      <c r="D917">
        <v>2018</v>
      </c>
      <c r="E917">
        <v>2547</v>
      </c>
      <c r="F917">
        <v>3787</v>
      </c>
      <c r="G917">
        <v>1482</v>
      </c>
      <c r="H917">
        <f>Sales[[#This Row],[Turnover]]-Sales[[#This Row],[Cost]]</f>
        <v>2305</v>
      </c>
      <c r="I917" s="3">
        <f>Sales[[#This Row],[Turnover]]*1000/Sales[[#This Row],[Quantity]]</f>
        <v>1486.8472712995681</v>
      </c>
      <c r="J917" s="5">
        <f>Sales[[#This Row],[Quantity]]/SUM(Sales[Quantity])</f>
        <v>4.6234191518830401E-3</v>
      </c>
    </row>
    <row r="918" spans="1:10" x14ac:dyDescent="0.25">
      <c r="A918" t="s">
        <v>27</v>
      </c>
      <c r="B918" t="s">
        <v>0</v>
      </c>
      <c r="C918" t="s">
        <v>17</v>
      </c>
      <c r="D918">
        <v>2018</v>
      </c>
      <c r="E918">
        <v>2066</v>
      </c>
      <c r="F918">
        <v>3094</v>
      </c>
      <c r="G918">
        <v>1202</v>
      </c>
      <c r="H918">
        <f>Sales[[#This Row],[Turnover]]-Sales[[#This Row],[Cost]]</f>
        <v>1892</v>
      </c>
      <c r="I918" s="3">
        <f>Sales[[#This Row],[Turnover]]*1000/Sales[[#This Row],[Quantity]]</f>
        <v>1497.5798644724105</v>
      </c>
      <c r="J918" s="5">
        <f>Sales[[#This Row],[Quantity]]/SUM(Sales[Quantity])</f>
        <v>3.7502881695289994E-3</v>
      </c>
    </row>
    <row r="919" spans="1:10" x14ac:dyDescent="0.25">
      <c r="A919" t="s">
        <v>27</v>
      </c>
      <c r="B919" t="s">
        <v>0</v>
      </c>
      <c r="C919" t="s">
        <v>15</v>
      </c>
      <c r="D919">
        <v>2018</v>
      </c>
      <c r="E919">
        <v>1771</v>
      </c>
      <c r="F919">
        <v>2644</v>
      </c>
      <c r="G919">
        <v>1031</v>
      </c>
      <c r="H919">
        <f>Sales[[#This Row],[Turnover]]-Sales[[#This Row],[Cost]]</f>
        <v>1613</v>
      </c>
      <c r="I919" s="3">
        <f>Sales[[#This Row],[Turnover]]*1000/Sales[[#This Row],[Quantity]]</f>
        <v>1492.9418407679277</v>
      </c>
      <c r="J919" s="5">
        <f>Sales[[#This Row],[Quantity]]/SUM(Sales[Quantity])</f>
        <v>3.2147920369002218E-3</v>
      </c>
    </row>
    <row r="920" spans="1:10" x14ac:dyDescent="0.25">
      <c r="A920" t="s">
        <v>27</v>
      </c>
      <c r="B920" t="s">
        <v>0</v>
      </c>
      <c r="C920" t="s">
        <v>14</v>
      </c>
      <c r="D920">
        <v>2018</v>
      </c>
      <c r="E920">
        <v>2433</v>
      </c>
      <c r="F920">
        <v>2180</v>
      </c>
      <c r="G920">
        <v>1416</v>
      </c>
      <c r="H920">
        <f>Sales[[#This Row],[Turnover]]-Sales[[#This Row],[Cost]]</f>
        <v>764</v>
      </c>
      <c r="I920" s="3">
        <f>Sales[[#This Row],[Turnover]]*1000/Sales[[#This Row],[Quantity]]</f>
        <v>896.01315248664196</v>
      </c>
      <c r="J920" s="5">
        <f>Sales[[#This Row],[Quantity]]/SUM(Sales[Quantity])</f>
        <v>4.4164816633417503E-3</v>
      </c>
    </row>
    <row r="921" spans="1:10" x14ac:dyDescent="0.25">
      <c r="A921" t="s">
        <v>27</v>
      </c>
      <c r="B921" t="s">
        <v>0</v>
      </c>
      <c r="C921" t="s">
        <v>2</v>
      </c>
      <c r="D921">
        <v>2018</v>
      </c>
      <c r="E921">
        <v>2442</v>
      </c>
      <c r="F921">
        <v>2217</v>
      </c>
      <c r="G921">
        <v>1421</v>
      </c>
      <c r="H921">
        <f>Sales[[#This Row],[Turnover]]-Sales[[#This Row],[Cost]]</f>
        <v>796</v>
      </c>
      <c r="I921" s="3">
        <f>Sales[[#This Row],[Turnover]]*1000/Sales[[#This Row],[Quantity]]</f>
        <v>907.86240786240785</v>
      </c>
      <c r="J921" s="5">
        <f>Sales[[#This Row],[Quantity]]/SUM(Sales[Quantity])</f>
        <v>4.4328188334897467E-3</v>
      </c>
    </row>
    <row r="922" spans="1:10" x14ac:dyDescent="0.25">
      <c r="A922" t="s">
        <v>27</v>
      </c>
      <c r="B922" t="s">
        <v>0</v>
      </c>
      <c r="C922" t="s">
        <v>3</v>
      </c>
      <c r="D922">
        <v>2018</v>
      </c>
      <c r="E922">
        <v>2291</v>
      </c>
      <c r="F922">
        <v>2044</v>
      </c>
      <c r="G922">
        <v>1334</v>
      </c>
      <c r="H922">
        <f>Sales[[#This Row],[Turnover]]-Sales[[#This Row],[Cost]]</f>
        <v>710</v>
      </c>
      <c r="I922" s="3">
        <f>Sales[[#This Row],[Turnover]]*1000/Sales[[#This Row],[Quantity]]</f>
        <v>892.18681798341333</v>
      </c>
      <c r="J922" s="5">
        <f>Sales[[#This Row],[Quantity]]/SUM(Sales[Quantity])</f>
        <v>4.1587174232289147E-3</v>
      </c>
    </row>
    <row r="923" spans="1:10" x14ac:dyDescent="0.25">
      <c r="A923" t="s">
        <v>27</v>
      </c>
      <c r="B923" t="s">
        <v>0</v>
      </c>
      <c r="C923" t="s">
        <v>18</v>
      </c>
      <c r="D923">
        <v>2018</v>
      </c>
      <c r="E923">
        <v>2313</v>
      </c>
      <c r="F923">
        <v>2066</v>
      </c>
      <c r="G923">
        <v>1346</v>
      </c>
      <c r="H923">
        <f>Sales[[#This Row],[Turnover]]-Sales[[#This Row],[Cost]]</f>
        <v>720</v>
      </c>
      <c r="I923" s="3">
        <f>Sales[[#This Row],[Turnover]]*1000/Sales[[#This Row],[Quantity]]</f>
        <v>893.21227842628616</v>
      </c>
      <c r="J923" s="5">
        <f>Sales[[#This Row],[Quantity]]/SUM(Sales[Quantity])</f>
        <v>4.1986527280351285E-3</v>
      </c>
    </row>
    <row r="924" spans="1:10" x14ac:dyDescent="0.25">
      <c r="A924" t="s">
        <v>27</v>
      </c>
      <c r="B924" t="s">
        <v>0</v>
      </c>
      <c r="C924" t="s">
        <v>4</v>
      </c>
      <c r="D924">
        <v>2018</v>
      </c>
      <c r="E924">
        <v>2052</v>
      </c>
      <c r="F924">
        <v>1855</v>
      </c>
      <c r="G924">
        <v>1194</v>
      </c>
      <c r="H924">
        <f>Sales[[#This Row],[Turnover]]-Sales[[#This Row],[Cost]]</f>
        <v>661</v>
      </c>
      <c r="I924" s="3">
        <f>Sales[[#This Row],[Turnover]]*1000/Sales[[#This Row],[Quantity]]</f>
        <v>903.99610136452247</v>
      </c>
      <c r="J924" s="5">
        <f>Sales[[#This Row],[Quantity]]/SUM(Sales[Quantity])</f>
        <v>3.7248747937432269E-3</v>
      </c>
    </row>
    <row r="925" spans="1:10" x14ac:dyDescent="0.25">
      <c r="A925" t="s">
        <v>27</v>
      </c>
      <c r="B925" t="s">
        <v>0</v>
      </c>
      <c r="C925" t="s">
        <v>19</v>
      </c>
      <c r="D925">
        <v>2018</v>
      </c>
      <c r="E925">
        <v>2926</v>
      </c>
      <c r="F925">
        <v>2042</v>
      </c>
      <c r="G925">
        <v>1703</v>
      </c>
      <c r="H925">
        <f>Sales[[#This Row],[Turnover]]-Sales[[#This Row],[Cost]]</f>
        <v>339</v>
      </c>
      <c r="I925" s="3">
        <f>Sales[[#This Row],[Turnover]]*1000/Sales[[#This Row],[Quantity]]</f>
        <v>697.88106630211894</v>
      </c>
      <c r="J925" s="5">
        <f>Sales[[#This Row],[Quantity]]/SUM(Sales[Quantity])</f>
        <v>5.3113955392264534E-3</v>
      </c>
    </row>
    <row r="926" spans="1:10" x14ac:dyDescent="0.25">
      <c r="A926" t="s">
        <v>28</v>
      </c>
      <c r="B926" t="s">
        <v>0</v>
      </c>
      <c r="C926" t="s">
        <v>12</v>
      </c>
      <c r="D926">
        <v>2018</v>
      </c>
      <c r="E926">
        <v>832</v>
      </c>
      <c r="F926">
        <v>1446</v>
      </c>
      <c r="G926">
        <v>0</v>
      </c>
      <c r="H926">
        <f>Sales[[#This Row],[Turnover]]-Sales[[#This Row],[Cost]]</f>
        <v>1446</v>
      </c>
      <c r="I926" s="3">
        <f>Sales[[#This Row],[Turnover]]*1000/Sales[[#This Row],[Quantity]]</f>
        <v>1737.9807692307693</v>
      </c>
      <c r="J926" s="5">
        <f>Sales[[#This Row],[Quantity]]/SUM(Sales[Quantity])</f>
        <v>1.5102806181259087E-3</v>
      </c>
    </row>
    <row r="927" spans="1:10" x14ac:dyDescent="0.25">
      <c r="A927" t="s">
        <v>28</v>
      </c>
      <c r="B927" t="s">
        <v>0</v>
      </c>
      <c r="C927" t="s">
        <v>13</v>
      </c>
      <c r="D927">
        <v>2018</v>
      </c>
      <c r="E927">
        <v>1251</v>
      </c>
      <c r="F927">
        <v>2178</v>
      </c>
      <c r="G927">
        <v>0</v>
      </c>
      <c r="H927">
        <f>Sales[[#This Row],[Turnover]]-Sales[[#This Row],[Cost]]</f>
        <v>2178</v>
      </c>
      <c r="I927" s="3">
        <f>Sales[[#This Row],[Turnover]]*1000/Sales[[#This Row],[Quantity]]</f>
        <v>1741.0071942446043</v>
      </c>
      <c r="J927" s="5">
        <f>Sales[[#This Row],[Quantity]]/SUM(Sales[Quantity])</f>
        <v>2.2708666505715288E-3</v>
      </c>
    </row>
    <row r="928" spans="1:10" x14ac:dyDescent="0.25">
      <c r="A928" t="s">
        <v>28</v>
      </c>
      <c r="B928" t="s">
        <v>0</v>
      </c>
      <c r="C928" t="s">
        <v>16</v>
      </c>
      <c r="D928">
        <v>2018</v>
      </c>
      <c r="E928">
        <v>1598</v>
      </c>
      <c r="F928">
        <v>2792</v>
      </c>
      <c r="G928">
        <v>0</v>
      </c>
      <c r="H928">
        <f>Sales[[#This Row],[Turnover]]-Sales[[#This Row],[Cost]]</f>
        <v>2792</v>
      </c>
      <c r="I928" s="3">
        <f>Sales[[#This Row],[Turnover]]*1000/Sales[[#This Row],[Quantity]]</f>
        <v>1747.1839799749687</v>
      </c>
      <c r="J928" s="5">
        <f>Sales[[#This Row],[Quantity]]/SUM(Sales[Quantity])</f>
        <v>2.9007553218331756E-3</v>
      </c>
    </row>
    <row r="929" spans="1:10" x14ac:dyDescent="0.25">
      <c r="A929" t="s">
        <v>28</v>
      </c>
      <c r="B929" t="s">
        <v>0</v>
      </c>
      <c r="C929" t="s">
        <v>1</v>
      </c>
      <c r="D929">
        <v>2018</v>
      </c>
      <c r="E929">
        <v>1442</v>
      </c>
      <c r="F929">
        <v>2507</v>
      </c>
      <c r="G929">
        <v>0</v>
      </c>
      <c r="H929">
        <f>Sales[[#This Row],[Turnover]]-Sales[[#This Row],[Cost]]</f>
        <v>2507</v>
      </c>
      <c r="I929" s="3">
        <f>Sales[[#This Row],[Turnover]]*1000/Sales[[#This Row],[Quantity]]</f>
        <v>1738.5575589459086</v>
      </c>
      <c r="J929" s="5">
        <f>Sales[[#This Row],[Quantity]]/SUM(Sales[Quantity])</f>
        <v>2.617577705934568E-3</v>
      </c>
    </row>
    <row r="930" spans="1:10" x14ac:dyDescent="0.25">
      <c r="A930" t="s">
        <v>28</v>
      </c>
      <c r="B930" t="s">
        <v>0</v>
      </c>
      <c r="C930" t="s">
        <v>17</v>
      </c>
      <c r="D930">
        <v>2018</v>
      </c>
      <c r="E930">
        <v>1137</v>
      </c>
      <c r="F930">
        <v>1999</v>
      </c>
      <c r="G930">
        <v>0</v>
      </c>
      <c r="H930">
        <f>Sales[[#This Row],[Turnover]]-Sales[[#This Row],[Cost]]</f>
        <v>1999</v>
      </c>
      <c r="I930" s="3">
        <f>Sales[[#This Row],[Turnover]]*1000/Sales[[#This Row],[Quantity]]</f>
        <v>1758.1354441512754</v>
      </c>
      <c r="J930" s="5">
        <f>Sales[[#This Row],[Quantity]]/SUM(Sales[Quantity])</f>
        <v>2.0639291620302381E-3</v>
      </c>
    </row>
    <row r="931" spans="1:10" x14ac:dyDescent="0.25">
      <c r="A931" t="s">
        <v>28</v>
      </c>
      <c r="B931" t="s">
        <v>0</v>
      </c>
      <c r="C931" t="s">
        <v>15</v>
      </c>
      <c r="D931">
        <v>2018</v>
      </c>
      <c r="E931">
        <v>1022</v>
      </c>
      <c r="F931">
        <v>1806</v>
      </c>
      <c r="G931">
        <v>0</v>
      </c>
      <c r="H931">
        <f>Sales[[#This Row],[Turnover]]-Sales[[#This Row],[Cost]]</f>
        <v>1806</v>
      </c>
      <c r="I931" s="3">
        <f>Sales[[#This Row],[Turnover]]*1000/Sales[[#This Row],[Quantity]]</f>
        <v>1767.1232876712329</v>
      </c>
      <c r="J931" s="5">
        <f>Sales[[#This Row],[Quantity]]/SUM(Sales[Quantity])</f>
        <v>1.8551764323613928E-3</v>
      </c>
    </row>
    <row r="932" spans="1:10" x14ac:dyDescent="0.25">
      <c r="A932" t="s">
        <v>28</v>
      </c>
      <c r="B932" t="s">
        <v>0</v>
      </c>
      <c r="C932" t="s">
        <v>14</v>
      </c>
      <c r="D932">
        <v>2018</v>
      </c>
      <c r="E932">
        <v>2140</v>
      </c>
      <c r="F932">
        <v>2587</v>
      </c>
      <c r="G932">
        <v>1288</v>
      </c>
      <c r="H932">
        <f>Sales[[#This Row],[Turnover]]-Sales[[#This Row],[Cost]]</f>
        <v>1299</v>
      </c>
      <c r="I932" s="3">
        <f>Sales[[#This Row],[Turnover]]*1000/Sales[[#This Row],[Quantity]]</f>
        <v>1208.8785046728972</v>
      </c>
      <c r="J932" s="5">
        <f>Sales[[#This Row],[Quantity]]/SUM(Sales[Quantity])</f>
        <v>3.8846160129680828E-3</v>
      </c>
    </row>
    <row r="933" spans="1:10" x14ac:dyDescent="0.25">
      <c r="A933" t="s">
        <v>28</v>
      </c>
      <c r="B933" t="s">
        <v>0</v>
      </c>
      <c r="C933" t="s">
        <v>2</v>
      </c>
      <c r="D933">
        <v>2018</v>
      </c>
      <c r="E933">
        <v>1975</v>
      </c>
      <c r="F933">
        <v>2391</v>
      </c>
      <c r="G933">
        <v>1189</v>
      </c>
      <c r="H933">
        <f>Sales[[#This Row],[Turnover]]-Sales[[#This Row],[Cost]]</f>
        <v>1202</v>
      </c>
      <c r="I933" s="3">
        <f>Sales[[#This Row],[Turnover]]*1000/Sales[[#This Row],[Quantity]]</f>
        <v>1210.632911392405</v>
      </c>
      <c r="J933" s="5">
        <f>Sales[[#This Row],[Quantity]]/SUM(Sales[Quantity])</f>
        <v>3.585101226921478E-3</v>
      </c>
    </row>
    <row r="934" spans="1:10" x14ac:dyDescent="0.25">
      <c r="A934" t="s">
        <v>28</v>
      </c>
      <c r="B934" t="s">
        <v>0</v>
      </c>
      <c r="C934" t="s">
        <v>3</v>
      </c>
      <c r="D934">
        <v>2018</v>
      </c>
      <c r="E934">
        <v>1963</v>
      </c>
      <c r="F934">
        <v>2361</v>
      </c>
      <c r="G934">
        <v>1182</v>
      </c>
      <c r="H934">
        <f>Sales[[#This Row],[Turnover]]-Sales[[#This Row],[Cost]]</f>
        <v>1179</v>
      </c>
      <c r="I934" s="3">
        <f>Sales[[#This Row],[Turnover]]*1000/Sales[[#This Row],[Quantity]]</f>
        <v>1202.7508914926134</v>
      </c>
      <c r="J934" s="5">
        <f>Sales[[#This Row],[Quantity]]/SUM(Sales[Quantity])</f>
        <v>3.563318333390816E-3</v>
      </c>
    </row>
    <row r="935" spans="1:10" x14ac:dyDescent="0.25">
      <c r="A935" t="s">
        <v>28</v>
      </c>
      <c r="B935" t="s">
        <v>0</v>
      </c>
      <c r="C935" t="s">
        <v>18</v>
      </c>
      <c r="D935">
        <v>2018</v>
      </c>
      <c r="E935">
        <v>1898</v>
      </c>
      <c r="F935">
        <v>2268</v>
      </c>
      <c r="G935">
        <v>1143</v>
      </c>
      <c r="H935">
        <f>Sales[[#This Row],[Turnover]]-Sales[[#This Row],[Cost]]</f>
        <v>1125</v>
      </c>
      <c r="I935" s="3">
        <f>Sales[[#This Row],[Turnover]]*1000/Sales[[#This Row],[Quantity]]</f>
        <v>1194.9420442571127</v>
      </c>
      <c r="J935" s="5">
        <f>Sales[[#This Row],[Quantity]]/SUM(Sales[Quantity])</f>
        <v>3.4453276600997294E-3</v>
      </c>
    </row>
    <row r="936" spans="1:10" x14ac:dyDescent="0.25">
      <c r="A936" t="s">
        <v>28</v>
      </c>
      <c r="B936" t="s">
        <v>0</v>
      </c>
      <c r="C936" t="s">
        <v>4</v>
      </c>
      <c r="D936">
        <v>2018</v>
      </c>
      <c r="E936">
        <v>1658</v>
      </c>
      <c r="F936">
        <v>1971</v>
      </c>
      <c r="G936">
        <v>998</v>
      </c>
      <c r="H936">
        <f>Sales[[#This Row],[Turnover]]-Sales[[#This Row],[Cost]]</f>
        <v>973</v>
      </c>
      <c r="I936" s="3">
        <f>Sales[[#This Row],[Turnover]]*1000/Sales[[#This Row],[Quantity]]</f>
        <v>1188.7816646562123</v>
      </c>
      <c r="J936" s="5">
        <f>Sales[[#This Row],[Quantity]]/SUM(Sales[Quantity])</f>
        <v>3.0096697894864866E-3</v>
      </c>
    </row>
    <row r="937" spans="1:10" x14ac:dyDescent="0.25">
      <c r="A937" t="s">
        <v>28</v>
      </c>
      <c r="B937" t="s">
        <v>0</v>
      </c>
      <c r="C937" t="s">
        <v>19</v>
      </c>
      <c r="D937">
        <v>2018</v>
      </c>
      <c r="E937">
        <v>2001</v>
      </c>
      <c r="F937">
        <v>1615</v>
      </c>
      <c r="G937">
        <v>1205</v>
      </c>
      <c r="H937">
        <f>Sales[[#This Row],[Turnover]]-Sales[[#This Row],[Cost]]</f>
        <v>410</v>
      </c>
      <c r="I937" s="3">
        <f>Sales[[#This Row],[Turnover]]*1000/Sales[[#This Row],[Quantity]]</f>
        <v>807.09645177411289</v>
      </c>
      <c r="J937" s="5">
        <f>Sales[[#This Row],[Quantity]]/SUM(Sales[Quantity])</f>
        <v>3.6322974962379128E-3</v>
      </c>
    </row>
    <row r="938" spans="1:10" x14ac:dyDescent="0.25">
      <c r="A938" t="s">
        <v>30</v>
      </c>
      <c r="B938" t="s">
        <v>0</v>
      </c>
      <c r="C938" t="s">
        <v>12</v>
      </c>
      <c r="D938">
        <v>2018</v>
      </c>
      <c r="E938">
        <v>2648</v>
      </c>
      <c r="F938">
        <v>5145</v>
      </c>
      <c r="G938">
        <v>3210</v>
      </c>
      <c r="H938">
        <f>Sales[[#This Row],[Turnover]]-Sales[[#This Row],[Cost]]</f>
        <v>1935</v>
      </c>
      <c r="I938" s="3">
        <f>Sales[[#This Row],[Turnover]]*1000/Sales[[#This Row],[Quantity]]</f>
        <v>1942.97583081571</v>
      </c>
      <c r="J938" s="5">
        <f>Sales[[#This Row],[Quantity]]/SUM(Sales[Quantity])</f>
        <v>4.8067585057661134E-3</v>
      </c>
    </row>
    <row r="939" spans="1:10" x14ac:dyDescent="0.25">
      <c r="A939" t="s">
        <v>30</v>
      </c>
      <c r="B939" t="s">
        <v>0</v>
      </c>
      <c r="C939" t="s">
        <v>13</v>
      </c>
      <c r="D939">
        <v>2018</v>
      </c>
      <c r="E939">
        <v>2528</v>
      </c>
      <c r="F939">
        <v>4972</v>
      </c>
      <c r="G939">
        <v>3064</v>
      </c>
      <c r="H939">
        <f>Sales[[#This Row],[Turnover]]-Sales[[#This Row],[Cost]]</f>
        <v>1908</v>
      </c>
      <c r="I939" s="3">
        <f>Sales[[#This Row],[Turnover]]*1000/Sales[[#This Row],[Quantity]]</f>
        <v>1966.7721518987341</v>
      </c>
      <c r="J939" s="5">
        <f>Sales[[#This Row],[Quantity]]/SUM(Sales[Quantity])</f>
        <v>4.5889295704594924E-3</v>
      </c>
    </row>
    <row r="940" spans="1:10" x14ac:dyDescent="0.25">
      <c r="A940" t="s">
        <v>30</v>
      </c>
      <c r="B940" t="s">
        <v>0</v>
      </c>
      <c r="C940" t="s">
        <v>16</v>
      </c>
      <c r="D940">
        <v>2018</v>
      </c>
      <c r="E940">
        <v>2074</v>
      </c>
      <c r="F940">
        <v>4011</v>
      </c>
      <c r="G940">
        <v>2514</v>
      </c>
      <c r="H940">
        <f>Sales[[#This Row],[Turnover]]-Sales[[#This Row],[Cost]]</f>
        <v>1497</v>
      </c>
      <c r="I940" s="3">
        <f>Sales[[#This Row],[Turnover]]*1000/Sales[[#This Row],[Quantity]]</f>
        <v>1933.944069431051</v>
      </c>
      <c r="J940" s="5">
        <f>Sales[[#This Row],[Quantity]]/SUM(Sales[Quantity])</f>
        <v>3.7648100985494407E-3</v>
      </c>
    </row>
    <row r="941" spans="1:10" x14ac:dyDescent="0.25">
      <c r="A941" t="s">
        <v>30</v>
      </c>
      <c r="B941" t="s">
        <v>0</v>
      </c>
      <c r="C941" t="s">
        <v>1</v>
      </c>
      <c r="D941">
        <v>2018</v>
      </c>
      <c r="E941">
        <v>2628</v>
      </c>
      <c r="F941">
        <v>5152</v>
      </c>
      <c r="G941">
        <v>3186</v>
      </c>
      <c r="H941">
        <f>Sales[[#This Row],[Turnover]]-Sales[[#This Row],[Cost]]</f>
        <v>1966</v>
      </c>
      <c r="I941" s="3">
        <f>Sales[[#This Row],[Turnover]]*1000/Sales[[#This Row],[Quantity]]</f>
        <v>1960.4261796042617</v>
      </c>
      <c r="J941" s="5">
        <f>Sales[[#This Row],[Quantity]]/SUM(Sales[Quantity])</f>
        <v>4.7704536832150098E-3</v>
      </c>
    </row>
    <row r="942" spans="1:10" x14ac:dyDescent="0.25">
      <c r="A942" t="s">
        <v>30</v>
      </c>
      <c r="B942" t="s">
        <v>0</v>
      </c>
      <c r="C942" t="s">
        <v>17</v>
      </c>
      <c r="D942">
        <v>2018</v>
      </c>
      <c r="E942">
        <v>2112</v>
      </c>
      <c r="F942">
        <v>4125</v>
      </c>
      <c r="G942">
        <v>2560</v>
      </c>
      <c r="H942">
        <f>Sales[[#This Row],[Turnover]]-Sales[[#This Row],[Cost]]</f>
        <v>1565</v>
      </c>
      <c r="I942" s="3">
        <f>Sales[[#This Row],[Turnover]]*1000/Sales[[#This Row],[Quantity]]</f>
        <v>1953.125</v>
      </c>
      <c r="J942" s="5">
        <f>Sales[[#This Row],[Quantity]]/SUM(Sales[Quantity])</f>
        <v>3.8337892613965374E-3</v>
      </c>
    </row>
    <row r="943" spans="1:10" x14ac:dyDescent="0.25">
      <c r="A943" t="s">
        <v>30</v>
      </c>
      <c r="B943" t="s">
        <v>0</v>
      </c>
      <c r="C943" t="s">
        <v>15</v>
      </c>
      <c r="D943">
        <v>2018</v>
      </c>
      <c r="E943">
        <v>2092</v>
      </c>
      <c r="F943">
        <v>4101</v>
      </c>
      <c r="G943">
        <v>2536</v>
      </c>
      <c r="H943">
        <f>Sales[[#This Row],[Turnover]]-Sales[[#This Row],[Cost]]</f>
        <v>1565</v>
      </c>
      <c r="I943" s="3">
        <f>Sales[[#This Row],[Turnover]]*1000/Sales[[#This Row],[Quantity]]</f>
        <v>1960.3250478011473</v>
      </c>
      <c r="J943" s="5">
        <f>Sales[[#This Row],[Quantity]]/SUM(Sales[Quantity])</f>
        <v>3.7974844388454342E-3</v>
      </c>
    </row>
    <row r="944" spans="1:10" x14ac:dyDescent="0.25">
      <c r="A944" t="s">
        <v>30</v>
      </c>
      <c r="B944" t="s">
        <v>0</v>
      </c>
      <c r="C944" t="s">
        <v>14</v>
      </c>
      <c r="D944">
        <v>2018</v>
      </c>
      <c r="E944">
        <v>2230</v>
      </c>
      <c r="F944">
        <v>4344</v>
      </c>
      <c r="G944">
        <v>2703</v>
      </c>
      <c r="H944">
        <f>Sales[[#This Row],[Turnover]]-Sales[[#This Row],[Cost]]</f>
        <v>1641</v>
      </c>
      <c r="I944" s="3">
        <f>Sales[[#This Row],[Turnover]]*1000/Sales[[#This Row],[Quantity]]</f>
        <v>1947.982062780269</v>
      </c>
      <c r="J944" s="5">
        <f>Sales[[#This Row],[Quantity]]/SUM(Sales[Quantity])</f>
        <v>4.0479877144480488E-3</v>
      </c>
    </row>
    <row r="945" spans="1:10" x14ac:dyDescent="0.25">
      <c r="A945" t="s">
        <v>30</v>
      </c>
      <c r="B945" t="s">
        <v>0</v>
      </c>
      <c r="C945" t="s">
        <v>2</v>
      </c>
      <c r="D945">
        <v>2018</v>
      </c>
      <c r="E945">
        <v>2984</v>
      </c>
      <c r="F945">
        <v>4446</v>
      </c>
      <c r="G945">
        <v>3617</v>
      </c>
      <c r="H945">
        <f>Sales[[#This Row],[Turnover]]-Sales[[#This Row],[Cost]]</f>
        <v>829</v>
      </c>
      <c r="I945" s="3">
        <f>Sales[[#This Row],[Turnover]]*1000/Sales[[#This Row],[Quantity]]</f>
        <v>1489.9463806970509</v>
      </c>
      <c r="J945" s="5">
        <f>Sales[[#This Row],[Quantity]]/SUM(Sales[Quantity])</f>
        <v>5.4166795246246534E-3</v>
      </c>
    </row>
    <row r="946" spans="1:10" x14ac:dyDescent="0.25">
      <c r="A946" t="s">
        <v>30</v>
      </c>
      <c r="B946" t="s">
        <v>0</v>
      </c>
      <c r="C946" t="s">
        <v>3</v>
      </c>
      <c r="D946">
        <v>2018</v>
      </c>
      <c r="E946">
        <v>2742</v>
      </c>
      <c r="F946">
        <v>4094</v>
      </c>
      <c r="G946">
        <v>3324</v>
      </c>
      <c r="H946">
        <f>Sales[[#This Row],[Turnover]]-Sales[[#This Row],[Cost]]</f>
        <v>770</v>
      </c>
      <c r="I946" s="3">
        <f>Sales[[#This Row],[Turnover]]*1000/Sales[[#This Row],[Quantity]]</f>
        <v>1493.0707512764407</v>
      </c>
      <c r="J946" s="5">
        <f>Sales[[#This Row],[Quantity]]/SUM(Sales[Quantity])</f>
        <v>4.9773911717563004E-3</v>
      </c>
    </row>
    <row r="947" spans="1:10" x14ac:dyDescent="0.25">
      <c r="A947" t="s">
        <v>30</v>
      </c>
      <c r="B947" t="s">
        <v>0</v>
      </c>
      <c r="C947" t="s">
        <v>18</v>
      </c>
      <c r="D947">
        <v>2018</v>
      </c>
      <c r="E947">
        <v>3051</v>
      </c>
      <c r="F947">
        <v>4604</v>
      </c>
      <c r="G947">
        <v>3698</v>
      </c>
      <c r="H947">
        <f>Sales[[#This Row],[Turnover]]-Sales[[#This Row],[Cost]]</f>
        <v>906</v>
      </c>
      <c r="I947" s="3">
        <f>Sales[[#This Row],[Turnover]]*1000/Sales[[#This Row],[Quantity]]</f>
        <v>1509.0134382169781</v>
      </c>
      <c r="J947" s="5">
        <f>Sales[[#This Row],[Quantity]]/SUM(Sales[Quantity])</f>
        <v>5.5383006801708505E-3</v>
      </c>
    </row>
    <row r="948" spans="1:10" x14ac:dyDescent="0.25">
      <c r="A948" t="s">
        <v>30</v>
      </c>
      <c r="B948" t="s">
        <v>0</v>
      </c>
      <c r="C948" t="s">
        <v>4</v>
      </c>
      <c r="D948">
        <v>2018</v>
      </c>
      <c r="E948">
        <v>2398</v>
      </c>
      <c r="F948">
        <v>3599</v>
      </c>
      <c r="G948">
        <v>2906</v>
      </c>
      <c r="H948">
        <f>Sales[[#This Row],[Turnover]]-Sales[[#This Row],[Cost]]</f>
        <v>693</v>
      </c>
      <c r="I948" s="3">
        <f>Sales[[#This Row],[Turnover]]*1000/Sales[[#This Row],[Quantity]]</f>
        <v>1500.8340283569642</v>
      </c>
      <c r="J948" s="5">
        <f>Sales[[#This Row],[Quantity]]/SUM(Sales[Quantity])</f>
        <v>4.3529482238773192E-3</v>
      </c>
    </row>
    <row r="949" spans="1:10" x14ac:dyDescent="0.25">
      <c r="A949" t="s">
        <v>30</v>
      </c>
      <c r="B949" t="s">
        <v>0</v>
      </c>
      <c r="C949" t="s">
        <v>19</v>
      </c>
      <c r="D949">
        <v>2018</v>
      </c>
      <c r="E949">
        <v>2247</v>
      </c>
      <c r="F949">
        <v>3344</v>
      </c>
      <c r="G949">
        <v>2723</v>
      </c>
      <c r="H949">
        <f>Sales[[#This Row],[Turnover]]-Sales[[#This Row],[Cost]]</f>
        <v>621</v>
      </c>
      <c r="I949" s="3">
        <f>Sales[[#This Row],[Turnover]]*1000/Sales[[#This Row],[Quantity]]</f>
        <v>1488.2064975522919</v>
      </c>
      <c r="J949" s="5">
        <f>Sales[[#This Row],[Quantity]]/SUM(Sales[Quantity])</f>
        <v>4.0788468136164864E-3</v>
      </c>
    </row>
    <row r="950" spans="1:10" x14ac:dyDescent="0.25">
      <c r="A950" t="s">
        <v>26</v>
      </c>
      <c r="B950" t="s">
        <v>0</v>
      </c>
      <c r="C950" t="s">
        <v>2</v>
      </c>
      <c r="D950">
        <v>2018</v>
      </c>
      <c r="E950">
        <v>1394</v>
      </c>
      <c r="F950">
        <v>4902</v>
      </c>
      <c r="G950">
        <v>1692</v>
      </c>
      <c r="H950">
        <f>Sales[[#This Row],[Turnover]]-Sales[[#This Row],[Cost]]</f>
        <v>3210</v>
      </c>
      <c r="I950" s="3">
        <f>Sales[[#This Row],[Turnover]]*1000/Sales[[#This Row],[Quantity]]</f>
        <v>3516.4992826398852</v>
      </c>
      <c r="J950" s="5">
        <f>Sales[[#This Row],[Quantity]]/SUM(Sales[Quantity])</f>
        <v>2.5304461318119194E-3</v>
      </c>
    </row>
    <row r="951" spans="1:10" x14ac:dyDescent="0.25">
      <c r="A951" t="s">
        <v>26</v>
      </c>
      <c r="B951" t="s">
        <v>0</v>
      </c>
      <c r="C951" t="s">
        <v>3</v>
      </c>
      <c r="D951">
        <v>2018</v>
      </c>
      <c r="E951">
        <v>1301</v>
      </c>
      <c r="F951">
        <v>4525</v>
      </c>
      <c r="G951">
        <v>1580</v>
      </c>
      <c r="H951">
        <f>Sales[[#This Row],[Turnover]]-Sales[[#This Row],[Cost]]</f>
        <v>2945</v>
      </c>
      <c r="I951" s="3">
        <f>Sales[[#This Row],[Turnover]]*1000/Sales[[#This Row],[Quantity]]</f>
        <v>3478.0937740199847</v>
      </c>
      <c r="J951" s="5">
        <f>Sales[[#This Row],[Quantity]]/SUM(Sales[Quantity])</f>
        <v>2.3616287069492875E-3</v>
      </c>
    </row>
    <row r="952" spans="1:10" x14ac:dyDescent="0.25">
      <c r="A952" t="s">
        <v>26</v>
      </c>
      <c r="B952" t="s">
        <v>0</v>
      </c>
      <c r="C952" t="s">
        <v>18</v>
      </c>
      <c r="D952">
        <v>2018</v>
      </c>
      <c r="E952">
        <v>1314</v>
      </c>
      <c r="F952">
        <v>4560</v>
      </c>
      <c r="G952">
        <v>1595</v>
      </c>
      <c r="H952">
        <f>Sales[[#This Row],[Turnover]]-Sales[[#This Row],[Cost]]</f>
        <v>2965</v>
      </c>
      <c r="I952" s="3">
        <f>Sales[[#This Row],[Turnover]]*1000/Sales[[#This Row],[Quantity]]</f>
        <v>3470.3196347031962</v>
      </c>
      <c r="J952" s="5">
        <f>Sales[[#This Row],[Quantity]]/SUM(Sales[Quantity])</f>
        <v>2.3852268416075049E-3</v>
      </c>
    </row>
    <row r="953" spans="1:10" x14ac:dyDescent="0.25">
      <c r="A953" t="s">
        <v>26</v>
      </c>
      <c r="B953" t="s">
        <v>0</v>
      </c>
      <c r="C953" t="s">
        <v>4</v>
      </c>
      <c r="D953">
        <v>2018</v>
      </c>
      <c r="E953">
        <v>1424</v>
      </c>
      <c r="F953">
        <v>5027</v>
      </c>
      <c r="G953">
        <v>1728</v>
      </c>
      <c r="H953">
        <f>Sales[[#This Row],[Turnover]]-Sales[[#This Row],[Cost]]</f>
        <v>3299</v>
      </c>
      <c r="I953" s="3">
        <f>Sales[[#This Row],[Turnover]]*1000/Sales[[#This Row],[Quantity]]</f>
        <v>3530.196629213483</v>
      </c>
      <c r="J953" s="5">
        <f>Sales[[#This Row],[Quantity]]/SUM(Sales[Quantity])</f>
        <v>2.5849033656385745E-3</v>
      </c>
    </row>
    <row r="954" spans="1:10" x14ac:dyDescent="0.25">
      <c r="A954" t="s">
        <v>26</v>
      </c>
      <c r="B954" t="s">
        <v>0</v>
      </c>
      <c r="C954" t="s">
        <v>19</v>
      </c>
      <c r="D954">
        <v>2018</v>
      </c>
      <c r="E954">
        <v>1265</v>
      </c>
      <c r="F954">
        <v>4393</v>
      </c>
      <c r="G954">
        <v>1536</v>
      </c>
      <c r="H954">
        <f>Sales[[#This Row],[Turnover]]-Sales[[#This Row],[Cost]]</f>
        <v>2857</v>
      </c>
      <c r="I954" s="3">
        <f>Sales[[#This Row],[Turnover]]*1000/Sales[[#This Row],[Quantity]]</f>
        <v>3472.7272727272725</v>
      </c>
      <c r="J954" s="5">
        <f>Sales[[#This Row],[Quantity]]/SUM(Sales[Quantity])</f>
        <v>2.2962800263573013E-3</v>
      </c>
    </row>
    <row r="955" spans="1:10" x14ac:dyDescent="0.25">
      <c r="A955" t="s">
        <v>29</v>
      </c>
      <c r="B955" t="s">
        <v>0</v>
      </c>
      <c r="C955" t="s">
        <v>2</v>
      </c>
      <c r="D955">
        <v>2018</v>
      </c>
      <c r="E955">
        <v>809</v>
      </c>
      <c r="F955">
        <v>3328</v>
      </c>
      <c r="G955">
        <v>1157</v>
      </c>
      <c r="H955">
        <f>Sales[[#This Row],[Turnover]]-Sales[[#This Row],[Cost]]</f>
        <v>2171</v>
      </c>
      <c r="I955" s="3">
        <f>Sales[[#This Row],[Turnover]]*1000/Sales[[#This Row],[Quantity]]</f>
        <v>4113.7206427688507</v>
      </c>
      <c r="J955" s="5">
        <f>Sales[[#This Row],[Quantity]]/SUM(Sales[Quantity])</f>
        <v>1.4685300721921396E-3</v>
      </c>
    </row>
    <row r="956" spans="1:10" x14ac:dyDescent="0.25">
      <c r="A956" t="s">
        <v>29</v>
      </c>
      <c r="B956" t="s">
        <v>0</v>
      </c>
      <c r="C956" t="s">
        <v>3</v>
      </c>
      <c r="D956">
        <v>2018</v>
      </c>
      <c r="E956">
        <v>880</v>
      </c>
      <c r="F956">
        <v>3615</v>
      </c>
      <c r="G956">
        <v>1259</v>
      </c>
      <c r="H956">
        <f>Sales[[#This Row],[Turnover]]-Sales[[#This Row],[Cost]]</f>
        <v>2356</v>
      </c>
      <c r="I956" s="3">
        <f>Sales[[#This Row],[Turnover]]*1000/Sales[[#This Row],[Quantity]]</f>
        <v>4107.954545454545</v>
      </c>
      <c r="J956" s="5">
        <f>Sales[[#This Row],[Quantity]]/SUM(Sales[Quantity])</f>
        <v>1.5974121922485574E-3</v>
      </c>
    </row>
    <row r="957" spans="1:10" x14ac:dyDescent="0.25">
      <c r="A957" t="s">
        <v>29</v>
      </c>
      <c r="B957" t="s">
        <v>0</v>
      </c>
      <c r="C957" t="s">
        <v>18</v>
      </c>
      <c r="D957">
        <v>2018</v>
      </c>
      <c r="E957">
        <v>967</v>
      </c>
      <c r="F957">
        <v>3938</v>
      </c>
      <c r="G957">
        <v>1384</v>
      </c>
      <c r="H957">
        <f>Sales[[#This Row],[Turnover]]-Sales[[#This Row],[Cost]]</f>
        <v>2554</v>
      </c>
      <c r="I957" s="3">
        <f>Sales[[#This Row],[Turnover]]*1000/Sales[[#This Row],[Quantity]]</f>
        <v>4072.3888314374353</v>
      </c>
      <c r="J957" s="5">
        <f>Sales[[#This Row],[Quantity]]/SUM(Sales[Quantity])</f>
        <v>1.7553381703458578E-3</v>
      </c>
    </row>
    <row r="958" spans="1:10" x14ac:dyDescent="0.25">
      <c r="A958" t="s">
        <v>29</v>
      </c>
      <c r="B958" t="s">
        <v>0</v>
      </c>
      <c r="C958" t="s">
        <v>4</v>
      </c>
      <c r="D958">
        <v>2018</v>
      </c>
      <c r="E958">
        <v>797</v>
      </c>
      <c r="F958">
        <v>3256</v>
      </c>
      <c r="G958">
        <v>1141</v>
      </c>
      <c r="H958">
        <f>Sales[[#This Row],[Turnover]]-Sales[[#This Row],[Cost]]</f>
        <v>2115</v>
      </c>
      <c r="I958" s="3">
        <f>Sales[[#This Row],[Turnover]]*1000/Sales[[#This Row],[Quantity]]</f>
        <v>4085.3199498117942</v>
      </c>
      <c r="J958" s="5">
        <f>Sales[[#This Row],[Quantity]]/SUM(Sales[Quantity])</f>
        <v>1.4467471786614775E-3</v>
      </c>
    </row>
    <row r="959" spans="1:10" x14ac:dyDescent="0.25">
      <c r="A959" t="s">
        <v>29</v>
      </c>
      <c r="B959" t="s">
        <v>0</v>
      </c>
      <c r="C959" t="s">
        <v>19</v>
      </c>
      <c r="D959">
        <v>2018</v>
      </c>
      <c r="E959">
        <v>975</v>
      </c>
      <c r="F959">
        <v>3999</v>
      </c>
      <c r="G959">
        <v>1395</v>
      </c>
      <c r="H959">
        <f>Sales[[#This Row],[Turnover]]-Sales[[#This Row],[Cost]]</f>
        <v>2604</v>
      </c>
      <c r="I959" s="3">
        <f>Sales[[#This Row],[Turnover]]*1000/Sales[[#This Row],[Quantity]]</f>
        <v>4101.5384615384619</v>
      </c>
      <c r="J959" s="5">
        <f>Sales[[#This Row],[Quantity]]/SUM(Sales[Quantity])</f>
        <v>1.7698600993662993E-3</v>
      </c>
    </row>
    <row r="960" spans="1:10" x14ac:dyDescent="0.25">
      <c r="A960" t="s">
        <v>27</v>
      </c>
      <c r="B960" t="s">
        <v>0</v>
      </c>
      <c r="C960" t="s">
        <v>12</v>
      </c>
      <c r="D960">
        <v>2019</v>
      </c>
      <c r="E960">
        <v>3018</v>
      </c>
      <c r="F960">
        <v>2092</v>
      </c>
      <c r="G960">
        <v>1757</v>
      </c>
      <c r="H960">
        <f>Sales[[#This Row],[Turnover]]-Sales[[#This Row],[Cost]]</f>
        <v>335</v>
      </c>
      <c r="I960" s="3">
        <f>Sales[[#This Row],[Turnover]]*1000/Sales[[#This Row],[Quantity]]</f>
        <v>693.17428760768723</v>
      </c>
      <c r="J960" s="5">
        <f>Sales[[#This Row],[Quantity]]/SUM(Sales[Quantity])</f>
        <v>5.4783977229615295E-3</v>
      </c>
    </row>
    <row r="961" spans="1:10" x14ac:dyDescent="0.25">
      <c r="A961" t="s">
        <v>27</v>
      </c>
      <c r="B961" t="s">
        <v>0</v>
      </c>
      <c r="C961" t="s">
        <v>13</v>
      </c>
      <c r="D961">
        <v>2019</v>
      </c>
      <c r="E961">
        <v>3382</v>
      </c>
      <c r="F961">
        <v>2378</v>
      </c>
      <c r="G961">
        <v>1968</v>
      </c>
      <c r="H961">
        <f>Sales[[#This Row],[Turnover]]-Sales[[#This Row],[Cost]]</f>
        <v>410</v>
      </c>
      <c r="I961" s="3">
        <f>Sales[[#This Row],[Turnover]]*1000/Sales[[#This Row],[Quantity]]</f>
        <v>703.13424009461858</v>
      </c>
      <c r="J961" s="5">
        <f>Sales[[#This Row],[Quantity]]/SUM(Sales[Quantity])</f>
        <v>6.1391454933916144E-3</v>
      </c>
    </row>
    <row r="962" spans="1:10" x14ac:dyDescent="0.25">
      <c r="A962" t="s">
        <v>27</v>
      </c>
      <c r="B962" t="s">
        <v>0</v>
      </c>
      <c r="C962" t="s">
        <v>16</v>
      </c>
      <c r="D962">
        <v>2019</v>
      </c>
      <c r="E962">
        <v>3036</v>
      </c>
      <c r="F962">
        <v>2143</v>
      </c>
      <c r="G962">
        <v>1767</v>
      </c>
      <c r="H962">
        <f>Sales[[#This Row],[Turnover]]-Sales[[#This Row],[Cost]]</f>
        <v>376</v>
      </c>
      <c r="I962" s="3">
        <f>Sales[[#This Row],[Turnover]]*1000/Sales[[#This Row],[Quantity]]</f>
        <v>705.862977602108</v>
      </c>
      <c r="J962" s="5">
        <f>Sales[[#This Row],[Quantity]]/SUM(Sales[Quantity])</f>
        <v>5.511072063257523E-3</v>
      </c>
    </row>
    <row r="963" spans="1:10" x14ac:dyDescent="0.25">
      <c r="A963" t="s">
        <v>27</v>
      </c>
      <c r="B963" t="s">
        <v>0</v>
      </c>
      <c r="C963" t="s">
        <v>1</v>
      </c>
      <c r="D963">
        <v>2019</v>
      </c>
      <c r="E963">
        <v>2802</v>
      </c>
      <c r="F963">
        <v>1947</v>
      </c>
      <c r="G963">
        <v>1631</v>
      </c>
      <c r="H963">
        <f>Sales[[#This Row],[Turnover]]-Sales[[#This Row],[Cost]]</f>
        <v>316</v>
      </c>
      <c r="I963" s="3">
        <f>Sales[[#This Row],[Turnover]]*1000/Sales[[#This Row],[Quantity]]</f>
        <v>694.86081370449676</v>
      </c>
      <c r="J963" s="5">
        <f>Sales[[#This Row],[Quantity]]/SUM(Sales[Quantity])</f>
        <v>5.0863056394096114E-3</v>
      </c>
    </row>
    <row r="964" spans="1:10" x14ac:dyDescent="0.25">
      <c r="A964" t="s">
        <v>27</v>
      </c>
      <c r="B964" t="s">
        <v>0</v>
      </c>
      <c r="C964" t="s">
        <v>17</v>
      </c>
      <c r="D964">
        <v>2019</v>
      </c>
      <c r="E964">
        <v>2299</v>
      </c>
      <c r="F964">
        <v>1623</v>
      </c>
      <c r="G964">
        <v>1338</v>
      </c>
      <c r="H964">
        <f>Sales[[#This Row],[Turnover]]-Sales[[#This Row],[Cost]]</f>
        <v>285</v>
      </c>
      <c r="I964" s="3">
        <f>Sales[[#This Row],[Turnover]]*1000/Sales[[#This Row],[Quantity]]</f>
        <v>705.95911265767722</v>
      </c>
      <c r="J964" s="5">
        <f>Sales[[#This Row],[Quantity]]/SUM(Sales[Quantity])</f>
        <v>4.173239352249356E-3</v>
      </c>
    </row>
    <row r="965" spans="1:10" x14ac:dyDescent="0.25">
      <c r="A965" t="s">
        <v>27</v>
      </c>
      <c r="B965" t="s">
        <v>0</v>
      </c>
      <c r="C965" t="s">
        <v>15</v>
      </c>
      <c r="D965">
        <v>2019</v>
      </c>
      <c r="E965">
        <v>2735</v>
      </c>
      <c r="F965">
        <v>1652</v>
      </c>
      <c r="G965">
        <v>1592</v>
      </c>
      <c r="H965">
        <f>Sales[[#This Row],[Turnover]]-Sales[[#This Row],[Cost]]</f>
        <v>60</v>
      </c>
      <c r="I965" s="3">
        <f>Sales[[#This Row],[Turnover]]*1000/Sales[[#This Row],[Quantity]]</f>
        <v>604.02193784277881</v>
      </c>
      <c r="J965" s="5">
        <f>Sales[[#This Row],[Quantity]]/SUM(Sales[Quantity])</f>
        <v>4.9646844838634142E-3</v>
      </c>
    </row>
    <row r="966" spans="1:10" x14ac:dyDescent="0.25">
      <c r="A966" t="s">
        <v>27</v>
      </c>
      <c r="B966" t="s">
        <v>0</v>
      </c>
      <c r="C966" t="s">
        <v>14</v>
      </c>
      <c r="D966">
        <v>2019</v>
      </c>
      <c r="E966">
        <v>2615</v>
      </c>
      <c r="F966">
        <v>1580</v>
      </c>
      <c r="G966">
        <v>1522</v>
      </c>
      <c r="H966">
        <f>Sales[[#This Row],[Turnover]]-Sales[[#This Row],[Cost]]</f>
        <v>58</v>
      </c>
      <c r="I966" s="3">
        <f>Sales[[#This Row],[Turnover]]*1000/Sales[[#This Row],[Quantity]]</f>
        <v>604.20650095602298</v>
      </c>
      <c r="J966" s="5">
        <f>Sales[[#This Row],[Quantity]]/SUM(Sales[Quantity])</f>
        <v>4.7468555485567923E-3</v>
      </c>
    </row>
    <row r="967" spans="1:10" x14ac:dyDescent="0.25">
      <c r="A967" t="s">
        <v>27</v>
      </c>
      <c r="B967" t="s">
        <v>0</v>
      </c>
      <c r="C967" t="s">
        <v>2</v>
      </c>
      <c r="D967">
        <v>2019</v>
      </c>
      <c r="E967">
        <v>2301</v>
      </c>
      <c r="F967">
        <v>1371</v>
      </c>
      <c r="G967">
        <v>1339</v>
      </c>
      <c r="H967">
        <f>Sales[[#This Row],[Turnover]]-Sales[[#This Row],[Cost]]</f>
        <v>32</v>
      </c>
      <c r="I967" s="3">
        <f>Sales[[#This Row],[Turnover]]*1000/Sales[[#This Row],[Quantity]]</f>
        <v>595.82790091264667</v>
      </c>
      <c r="J967" s="5">
        <f>Sales[[#This Row],[Quantity]]/SUM(Sales[Quantity])</f>
        <v>4.1768698345044661E-3</v>
      </c>
    </row>
    <row r="968" spans="1:10" x14ac:dyDescent="0.25">
      <c r="A968" t="s">
        <v>27</v>
      </c>
      <c r="B968" t="s">
        <v>0</v>
      </c>
      <c r="C968" t="s">
        <v>3</v>
      </c>
      <c r="D968">
        <v>2019</v>
      </c>
      <c r="E968">
        <v>2080</v>
      </c>
      <c r="F968">
        <v>1256</v>
      </c>
      <c r="G968">
        <v>1210</v>
      </c>
      <c r="H968">
        <f>Sales[[#This Row],[Turnover]]-Sales[[#This Row],[Cost]]</f>
        <v>46</v>
      </c>
      <c r="I968" s="3">
        <f>Sales[[#This Row],[Turnover]]*1000/Sales[[#This Row],[Quantity]]</f>
        <v>603.84615384615381</v>
      </c>
      <c r="J968" s="5">
        <f>Sales[[#This Row],[Quantity]]/SUM(Sales[Quantity])</f>
        <v>3.7757015453147719E-3</v>
      </c>
    </row>
    <row r="969" spans="1:10" x14ac:dyDescent="0.25">
      <c r="A969" t="s">
        <v>27</v>
      </c>
      <c r="B969" t="s">
        <v>0</v>
      </c>
      <c r="C969" t="s">
        <v>18</v>
      </c>
      <c r="D969">
        <v>2019</v>
      </c>
      <c r="E969">
        <v>2584</v>
      </c>
      <c r="F969">
        <v>1566</v>
      </c>
      <c r="G969">
        <v>1504</v>
      </c>
      <c r="H969">
        <f>Sales[[#This Row],[Turnover]]-Sales[[#This Row],[Cost]]</f>
        <v>62</v>
      </c>
      <c r="I969" s="3">
        <f>Sales[[#This Row],[Turnover]]*1000/Sales[[#This Row],[Quantity]]</f>
        <v>606.03715170278633</v>
      </c>
      <c r="J969" s="5">
        <f>Sales[[#This Row],[Quantity]]/SUM(Sales[Quantity])</f>
        <v>4.6905830736025823E-3</v>
      </c>
    </row>
    <row r="970" spans="1:10" x14ac:dyDescent="0.25">
      <c r="A970" t="s">
        <v>27</v>
      </c>
      <c r="B970" t="s">
        <v>0</v>
      </c>
      <c r="C970" t="s">
        <v>4</v>
      </c>
      <c r="D970">
        <v>2019</v>
      </c>
      <c r="E970">
        <v>2034</v>
      </c>
      <c r="F970">
        <v>1210</v>
      </c>
      <c r="G970">
        <v>1183</v>
      </c>
      <c r="H970">
        <f>Sales[[#This Row],[Turnover]]-Sales[[#This Row],[Cost]]</f>
        <v>27</v>
      </c>
      <c r="I970" s="3">
        <f>Sales[[#This Row],[Turnover]]*1000/Sales[[#This Row],[Quantity]]</f>
        <v>594.88692232055064</v>
      </c>
      <c r="J970" s="5">
        <f>Sales[[#This Row],[Quantity]]/SUM(Sales[Quantity])</f>
        <v>3.6922004534472338E-3</v>
      </c>
    </row>
    <row r="971" spans="1:10" x14ac:dyDescent="0.25">
      <c r="A971" t="s">
        <v>27</v>
      </c>
      <c r="B971" t="s">
        <v>0</v>
      </c>
      <c r="C971" t="s">
        <v>19</v>
      </c>
      <c r="D971">
        <v>2019</v>
      </c>
      <c r="E971">
        <v>2205</v>
      </c>
      <c r="F971">
        <v>1336</v>
      </c>
      <c r="G971">
        <v>1284</v>
      </c>
      <c r="H971">
        <f>Sales[[#This Row],[Turnover]]-Sales[[#This Row],[Cost]]</f>
        <v>52</v>
      </c>
      <c r="I971" s="3">
        <f>Sales[[#This Row],[Turnover]]*1000/Sales[[#This Row],[Quantity]]</f>
        <v>605.89569160997735</v>
      </c>
      <c r="J971" s="5">
        <f>Sales[[#This Row],[Quantity]]/SUM(Sales[Quantity])</f>
        <v>4.002606686259169E-3</v>
      </c>
    </row>
    <row r="972" spans="1:10" x14ac:dyDescent="0.25">
      <c r="A972" t="s">
        <v>28</v>
      </c>
      <c r="B972" t="s">
        <v>0</v>
      </c>
      <c r="C972" t="s">
        <v>12</v>
      </c>
      <c r="D972">
        <v>2019</v>
      </c>
      <c r="E972">
        <v>2092</v>
      </c>
      <c r="F972">
        <v>1680</v>
      </c>
      <c r="G972">
        <v>1259</v>
      </c>
      <c r="H972">
        <f>Sales[[#This Row],[Turnover]]-Sales[[#This Row],[Cost]]</f>
        <v>421</v>
      </c>
      <c r="I972" s="3">
        <f>Sales[[#This Row],[Turnover]]*1000/Sales[[#This Row],[Quantity]]</f>
        <v>803.05927342256211</v>
      </c>
      <c r="J972" s="5">
        <f>Sales[[#This Row],[Quantity]]/SUM(Sales[Quantity])</f>
        <v>3.7974844388454342E-3</v>
      </c>
    </row>
    <row r="973" spans="1:10" x14ac:dyDescent="0.25">
      <c r="A973" t="s">
        <v>28</v>
      </c>
      <c r="B973" t="s">
        <v>0</v>
      </c>
      <c r="C973" t="s">
        <v>13</v>
      </c>
      <c r="D973">
        <v>2019</v>
      </c>
      <c r="E973">
        <v>2259</v>
      </c>
      <c r="F973">
        <v>1794</v>
      </c>
      <c r="G973">
        <v>1360</v>
      </c>
      <c r="H973">
        <f>Sales[[#This Row],[Turnover]]-Sales[[#This Row],[Cost]]</f>
        <v>434</v>
      </c>
      <c r="I973" s="3">
        <f>Sales[[#This Row],[Turnover]]*1000/Sales[[#This Row],[Quantity]]</f>
        <v>794.15670650730408</v>
      </c>
      <c r="J973" s="5">
        <f>Sales[[#This Row],[Quantity]]/SUM(Sales[Quantity])</f>
        <v>4.1006297071471487E-3</v>
      </c>
    </row>
    <row r="974" spans="1:10" x14ac:dyDescent="0.25">
      <c r="A974" t="s">
        <v>28</v>
      </c>
      <c r="B974" t="s">
        <v>0</v>
      </c>
      <c r="C974" t="s">
        <v>16</v>
      </c>
      <c r="D974">
        <v>2019</v>
      </c>
      <c r="E974">
        <v>1954</v>
      </c>
      <c r="F974">
        <v>1558</v>
      </c>
      <c r="G974">
        <v>1177</v>
      </c>
      <c r="H974">
        <f>Sales[[#This Row],[Turnover]]-Sales[[#This Row],[Cost]]</f>
        <v>381</v>
      </c>
      <c r="I974" s="3">
        <f>Sales[[#This Row],[Turnover]]*1000/Sales[[#This Row],[Quantity]]</f>
        <v>797.33879222108499</v>
      </c>
      <c r="J974" s="5">
        <f>Sales[[#This Row],[Quantity]]/SUM(Sales[Quantity])</f>
        <v>3.5469811632428193E-3</v>
      </c>
    </row>
    <row r="975" spans="1:10" x14ac:dyDescent="0.25">
      <c r="A975" t="s">
        <v>28</v>
      </c>
      <c r="B975" t="s">
        <v>0</v>
      </c>
      <c r="C975" t="s">
        <v>1</v>
      </c>
      <c r="D975">
        <v>2019</v>
      </c>
      <c r="E975">
        <v>2043</v>
      </c>
      <c r="F975">
        <v>1645</v>
      </c>
      <c r="G975">
        <v>1230</v>
      </c>
      <c r="H975">
        <f>Sales[[#This Row],[Turnover]]-Sales[[#This Row],[Cost]]</f>
        <v>415</v>
      </c>
      <c r="I975" s="3">
        <f>Sales[[#This Row],[Turnover]]*1000/Sales[[#This Row],[Quantity]]</f>
        <v>805.18844836025448</v>
      </c>
      <c r="J975" s="5">
        <f>Sales[[#This Row],[Quantity]]/SUM(Sales[Quantity])</f>
        <v>3.7085376235952302E-3</v>
      </c>
    </row>
    <row r="976" spans="1:10" x14ac:dyDescent="0.25">
      <c r="A976" t="s">
        <v>28</v>
      </c>
      <c r="B976" t="s">
        <v>0</v>
      </c>
      <c r="C976" t="s">
        <v>17</v>
      </c>
      <c r="D976">
        <v>2019</v>
      </c>
      <c r="E976">
        <v>1823</v>
      </c>
      <c r="F976">
        <v>1471</v>
      </c>
      <c r="G976">
        <v>1097</v>
      </c>
      <c r="H976">
        <f>Sales[[#This Row],[Turnover]]-Sales[[#This Row],[Cost]]</f>
        <v>374</v>
      </c>
      <c r="I976" s="3">
        <f>Sales[[#This Row],[Turnover]]*1000/Sales[[#This Row],[Quantity]]</f>
        <v>806.91168403730114</v>
      </c>
      <c r="J976" s="5">
        <f>Sales[[#This Row],[Quantity]]/SUM(Sales[Quantity])</f>
        <v>3.309184575533091E-3</v>
      </c>
    </row>
    <row r="977" spans="1:10" x14ac:dyDescent="0.25">
      <c r="A977" t="s">
        <v>28</v>
      </c>
      <c r="B977" t="s">
        <v>0</v>
      </c>
      <c r="C977" t="s">
        <v>15</v>
      </c>
      <c r="D977">
        <v>2019</v>
      </c>
      <c r="E977">
        <v>2379</v>
      </c>
      <c r="F977">
        <v>1677</v>
      </c>
      <c r="G977">
        <v>1432</v>
      </c>
      <c r="H977">
        <f>Sales[[#This Row],[Turnover]]-Sales[[#This Row],[Cost]]</f>
        <v>245</v>
      </c>
      <c r="I977" s="3">
        <f>Sales[[#This Row],[Turnover]]*1000/Sales[[#This Row],[Quantity]]</f>
        <v>704.91803278688519</v>
      </c>
      <c r="J977" s="5">
        <f>Sales[[#This Row],[Quantity]]/SUM(Sales[Quantity])</f>
        <v>4.3184586424537706E-3</v>
      </c>
    </row>
    <row r="978" spans="1:10" x14ac:dyDescent="0.25">
      <c r="A978" t="s">
        <v>28</v>
      </c>
      <c r="B978" t="s">
        <v>0</v>
      </c>
      <c r="C978" t="s">
        <v>14</v>
      </c>
      <c r="D978">
        <v>2019</v>
      </c>
      <c r="E978">
        <v>1948</v>
      </c>
      <c r="F978">
        <v>1373</v>
      </c>
      <c r="G978">
        <v>1173</v>
      </c>
      <c r="H978">
        <f>Sales[[#This Row],[Turnover]]-Sales[[#This Row],[Cost]]</f>
        <v>200</v>
      </c>
      <c r="I978" s="3">
        <f>Sales[[#This Row],[Turnover]]*1000/Sales[[#This Row],[Quantity]]</f>
        <v>704.82546201232037</v>
      </c>
      <c r="J978" s="5">
        <f>Sales[[#This Row],[Quantity]]/SUM(Sales[Quantity])</f>
        <v>3.5360897164774881E-3</v>
      </c>
    </row>
    <row r="979" spans="1:10" x14ac:dyDescent="0.25">
      <c r="A979" t="s">
        <v>28</v>
      </c>
      <c r="B979" t="s">
        <v>0</v>
      </c>
      <c r="C979" t="s">
        <v>2</v>
      </c>
      <c r="D979">
        <v>2019</v>
      </c>
      <c r="E979">
        <v>2132</v>
      </c>
      <c r="F979">
        <v>1496</v>
      </c>
      <c r="G979">
        <v>1283</v>
      </c>
      <c r="H979">
        <f>Sales[[#This Row],[Turnover]]-Sales[[#This Row],[Cost]]</f>
        <v>213</v>
      </c>
      <c r="I979" s="3">
        <f>Sales[[#This Row],[Turnover]]*1000/Sales[[#This Row],[Quantity]]</f>
        <v>701.68855534709189</v>
      </c>
      <c r="J979" s="5">
        <f>Sales[[#This Row],[Quantity]]/SUM(Sales[Quantity])</f>
        <v>3.8700940839476411E-3</v>
      </c>
    </row>
    <row r="980" spans="1:10" x14ac:dyDescent="0.25">
      <c r="A980" t="s">
        <v>28</v>
      </c>
      <c r="B980" t="s">
        <v>0</v>
      </c>
      <c r="C980" t="s">
        <v>3</v>
      </c>
      <c r="D980">
        <v>2019</v>
      </c>
      <c r="E980">
        <v>2155</v>
      </c>
      <c r="F980">
        <v>1506</v>
      </c>
      <c r="G980">
        <v>1297</v>
      </c>
      <c r="H980">
        <f>Sales[[#This Row],[Turnover]]-Sales[[#This Row],[Cost]]</f>
        <v>209</v>
      </c>
      <c r="I980" s="3">
        <f>Sales[[#This Row],[Turnover]]*1000/Sales[[#This Row],[Quantity]]</f>
        <v>698.83990719257542</v>
      </c>
      <c r="J980" s="5">
        <f>Sales[[#This Row],[Quantity]]/SUM(Sales[Quantity])</f>
        <v>3.9118446298814103E-3</v>
      </c>
    </row>
    <row r="981" spans="1:10" x14ac:dyDescent="0.25">
      <c r="A981" t="s">
        <v>28</v>
      </c>
      <c r="B981" t="s">
        <v>0</v>
      </c>
      <c r="C981" t="s">
        <v>18</v>
      </c>
      <c r="D981">
        <v>2019</v>
      </c>
      <c r="E981">
        <v>2184</v>
      </c>
      <c r="F981">
        <v>1522</v>
      </c>
      <c r="G981">
        <v>1315</v>
      </c>
      <c r="H981">
        <f>Sales[[#This Row],[Turnover]]-Sales[[#This Row],[Cost]]</f>
        <v>207</v>
      </c>
      <c r="I981" s="3">
        <f>Sales[[#This Row],[Turnover]]*1000/Sales[[#This Row],[Quantity]]</f>
        <v>696.88644688644683</v>
      </c>
      <c r="J981" s="5">
        <f>Sales[[#This Row],[Quantity]]/SUM(Sales[Quantity])</f>
        <v>3.9644866225805103E-3</v>
      </c>
    </row>
    <row r="982" spans="1:10" x14ac:dyDescent="0.25">
      <c r="A982" t="s">
        <v>28</v>
      </c>
      <c r="B982" t="s">
        <v>0</v>
      </c>
      <c r="C982" t="s">
        <v>4</v>
      </c>
      <c r="D982">
        <v>2019</v>
      </c>
      <c r="E982">
        <v>1970</v>
      </c>
      <c r="F982">
        <v>1391</v>
      </c>
      <c r="G982">
        <v>1186</v>
      </c>
      <c r="H982">
        <f>Sales[[#This Row],[Turnover]]-Sales[[#This Row],[Cost]]</f>
        <v>205</v>
      </c>
      <c r="I982" s="3">
        <f>Sales[[#This Row],[Turnover]]*1000/Sales[[#This Row],[Quantity]]</f>
        <v>706.09137055837562</v>
      </c>
      <c r="J982" s="5">
        <f>Sales[[#This Row],[Quantity]]/SUM(Sales[Quantity])</f>
        <v>3.5760250212837023E-3</v>
      </c>
    </row>
    <row r="983" spans="1:10" x14ac:dyDescent="0.25">
      <c r="A983" t="s">
        <v>28</v>
      </c>
      <c r="B983" t="s">
        <v>0</v>
      </c>
      <c r="C983" t="s">
        <v>19</v>
      </c>
      <c r="D983">
        <v>2019</v>
      </c>
      <c r="E983">
        <v>1813</v>
      </c>
      <c r="F983">
        <v>1278</v>
      </c>
      <c r="G983">
        <v>1091</v>
      </c>
      <c r="H983">
        <f>Sales[[#This Row],[Turnover]]-Sales[[#This Row],[Cost]]</f>
        <v>187</v>
      </c>
      <c r="I983" s="3">
        <f>Sales[[#This Row],[Turnover]]*1000/Sales[[#This Row],[Quantity]]</f>
        <v>704.90899062327628</v>
      </c>
      <c r="J983" s="5">
        <f>Sales[[#This Row],[Quantity]]/SUM(Sales[Quantity])</f>
        <v>3.2910321642575392E-3</v>
      </c>
    </row>
    <row r="984" spans="1:10" x14ac:dyDescent="0.25">
      <c r="A984" t="s">
        <v>30</v>
      </c>
      <c r="B984" t="s">
        <v>0</v>
      </c>
      <c r="C984" t="s">
        <v>12</v>
      </c>
      <c r="D984">
        <v>2019</v>
      </c>
      <c r="E984">
        <v>1931</v>
      </c>
      <c r="F984">
        <v>2881</v>
      </c>
      <c r="G984">
        <v>2340</v>
      </c>
      <c r="H984">
        <f>Sales[[#This Row],[Turnover]]-Sales[[#This Row],[Cost]]</f>
        <v>541</v>
      </c>
      <c r="I984" s="3">
        <f>Sales[[#This Row],[Turnover]]*1000/Sales[[#This Row],[Quantity]]</f>
        <v>1491.9730709476955</v>
      </c>
      <c r="J984" s="5">
        <f>Sales[[#This Row],[Quantity]]/SUM(Sales[Quantity])</f>
        <v>3.50523061730905E-3</v>
      </c>
    </row>
    <row r="985" spans="1:10" x14ac:dyDescent="0.25">
      <c r="A985" t="s">
        <v>30</v>
      </c>
      <c r="B985" t="s">
        <v>0</v>
      </c>
      <c r="C985" t="s">
        <v>13</v>
      </c>
      <c r="D985">
        <v>2019</v>
      </c>
      <c r="E985">
        <v>1469</v>
      </c>
      <c r="F985">
        <v>2200</v>
      </c>
      <c r="G985">
        <v>1780</v>
      </c>
      <c r="H985">
        <f>Sales[[#This Row],[Turnover]]-Sales[[#This Row],[Cost]]</f>
        <v>420</v>
      </c>
      <c r="I985" s="3">
        <f>Sales[[#This Row],[Turnover]]*1000/Sales[[#This Row],[Quantity]]</f>
        <v>1497.6174268209666</v>
      </c>
      <c r="J985" s="5">
        <f>Sales[[#This Row],[Quantity]]/SUM(Sales[Quantity])</f>
        <v>2.6665892163785575E-3</v>
      </c>
    </row>
    <row r="986" spans="1:10" x14ac:dyDescent="0.25">
      <c r="A986" t="s">
        <v>30</v>
      </c>
      <c r="B986" t="s">
        <v>0</v>
      </c>
      <c r="C986" t="s">
        <v>16</v>
      </c>
      <c r="D986">
        <v>2019</v>
      </c>
      <c r="E986">
        <v>1517</v>
      </c>
      <c r="F986">
        <v>2296</v>
      </c>
      <c r="G986">
        <v>1838</v>
      </c>
      <c r="H986">
        <f>Sales[[#This Row],[Turnover]]-Sales[[#This Row],[Cost]]</f>
        <v>458</v>
      </c>
      <c r="I986" s="3">
        <f>Sales[[#This Row],[Turnover]]*1000/Sales[[#This Row],[Quantity]]</f>
        <v>1513.5135135135135</v>
      </c>
      <c r="J986" s="5">
        <f>Sales[[#This Row],[Quantity]]/SUM(Sales[Quantity])</f>
        <v>2.753720790501206E-3</v>
      </c>
    </row>
    <row r="987" spans="1:10" x14ac:dyDescent="0.25">
      <c r="A987" t="s">
        <v>30</v>
      </c>
      <c r="B987" t="s">
        <v>0</v>
      </c>
      <c r="C987" t="s">
        <v>1</v>
      </c>
      <c r="D987">
        <v>2019</v>
      </c>
      <c r="E987">
        <v>1173</v>
      </c>
      <c r="F987">
        <v>1748</v>
      </c>
      <c r="G987">
        <v>1422</v>
      </c>
      <c r="H987">
        <f>Sales[[#This Row],[Turnover]]-Sales[[#This Row],[Cost]]</f>
        <v>326</v>
      </c>
      <c r="I987" s="3">
        <f>Sales[[#This Row],[Turnover]]*1000/Sales[[#This Row],[Quantity]]</f>
        <v>1490.1960784313726</v>
      </c>
      <c r="J987" s="5">
        <f>Sales[[#This Row],[Quantity]]/SUM(Sales[Quantity])</f>
        <v>2.1292778426222248E-3</v>
      </c>
    </row>
    <row r="988" spans="1:10" x14ac:dyDescent="0.25">
      <c r="A988" t="s">
        <v>30</v>
      </c>
      <c r="B988" t="s">
        <v>0</v>
      </c>
      <c r="C988" t="s">
        <v>17</v>
      </c>
      <c r="D988">
        <v>2019</v>
      </c>
      <c r="E988">
        <v>1360</v>
      </c>
      <c r="F988">
        <v>2053</v>
      </c>
      <c r="G988">
        <v>1648</v>
      </c>
      <c r="H988">
        <f>Sales[[#This Row],[Turnover]]-Sales[[#This Row],[Cost]]</f>
        <v>405</v>
      </c>
      <c r="I988" s="3">
        <f>Sales[[#This Row],[Turnover]]*1000/Sales[[#This Row],[Quantity]]</f>
        <v>1509.5588235294117</v>
      </c>
      <c r="J988" s="5">
        <f>Sales[[#This Row],[Quantity]]/SUM(Sales[Quantity])</f>
        <v>2.4687279334750433E-3</v>
      </c>
    </row>
    <row r="989" spans="1:10" x14ac:dyDescent="0.25">
      <c r="A989" t="s">
        <v>30</v>
      </c>
      <c r="B989" t="s">
        <v>0</v>
      </c>
      <c r="C989" t="s">
        <v>15</v>
      </c>
      <c r="D989">
        <v>2019</v>
      </c>
      <c r="E989">
        <v>1217</v>
      </c>
      <c r="F989">
        <v>1830</v>
      </c>
      <c r="G989">
        <v>1474</v>
      </c>
      <c r="H989">
        <f>Sales[[#This Row],[Turnover]]-Sales[[#This Row],[Cost]]</f>
        <v>356</v>
      </c>
      <c r="I989" s="3">
        <f>Sales[[#This Row],[Turnover]]*1000/Sales[[#This Row],[Quantity]]</f>
        <v>1503.6976170912078</v>
      </c>
      <c r="J989" s="5">
        <f>Sales[[#This Row],[Quantity]]/SUM(Sales[Quantity])</f>
        <v>2.2091484522346527E-3</v>
      </c>
    </row>
    <row r="990" spans="1:10" x14ac:dyDescent="0.25">
      <c r="A990" t="s">
        <v>30</v>
      </c>
      <c r="B990" t="s">
        <v>0</v>
      </c>
      <c r="C990" t="s">
        <v>14</v>
      </c>
      <c r="D990">
        <v>2019</v>
      </c>
      <c r="E990">
        <v>1087</v>
      </c>
      <c r="F990">
        <v>1643</v>
      </c>
      <c r="G990">
        <v>1317</v>
      </c>
      <c r="H990">
        <f>Sales[[#This Row],[Turnover]]-Sales[[#This Row],[Cost]]</f>
        <v>326</v>
      </c>
      <c r="I990" s="3">
        <f>Sales[[#This Row],[Turnover]]*1000/Sales[[#This Row],[Quantity]]</f>
        <v>1511.4995400183993</v>
      </c>
      <c r="J990" s="5">
        <f>Sales[[#This Row],[Quantity]]/SUM(Sales[Quantity])</f>
        <v>1.9731671056524794E-3</v>
      </c>
    </row>
    <row r="991" spans="1:10" x14ac:dyDescent="0.25">
      <c r="A991" t="s">
        <v>26</v>
      </c>
      <c r="B991" t="s">
        <v>0</v>
      </c>
      <c r="C991" t="s">
        <v>12</v>
      </c>
      <c r="D991">
        <v>2019</v>
      </c>
      <c r="E991">
        <v>1230</v>
      </c>
      <c r="F991">
        <v>4329</v>
      </c>
      <c r="G991">
        <v>1493</v>
      </c>
      <c r="H991">
        <f>Sales[[#This Row],[Turnover]]-Sales[[#This Row],[Cost]]</f>
        <v>2836</v>
      </c>
      <c r="I991" s="3">
        <f>Sales[[#This Row],[Turnover]]*1000/Sales[[#This Row],[Quantity]]</f>
        <v>3519.5121951219512</v>
      </c>
      <c r="J991" s="5">
        <f>Sales[[#This Row],[Quantity]]/SUM(Sales[Quantity])</f>
        <v>2.2327465868928701E-3</v>
      </c>
    </row>
    <row r="992" spans="1:10" x14ac:dyDescent="0.25">
      <c r="A992" t="s">
        <v>26</v>
      </c>
      <c r="B992" t="s">
        <v>0</v>
      </c>
      <c r="C992" t="s">
        <v>13</v>
      </c>
      <c r="D992">
        <v>2019</v>
      </c>
      <c r="E992">
        <v>1259</v>
      </c>
      <c r="F992">
        <v>4398</v>
      </c>
      <c r="G992">
        <v>1529</v>
      </c>
      <c r="H992">
        <f>Sales[[#This Row],[Turnover]]-Sales[[#This Row],[Cost]]</f>
        <v>2869</v>
      </c>
      <c r="I992" s="3">
        <f>Sales[[#This Row],[Turnover]]*1000/Sales[[#This Row],[Quantity]]</f>
        <v>3493.2486100079427</v>
      </c>
      <c r="J992" s="5">
        <f>Sales[[#This Row],[Quantity]]/SUM(Sales[Quantity])</f>
        <v>2.2853885795919701E-3</v>
      </c>
    </row>
    <row r="993" spans="1:10" x14ac:dyDescent="0.25">
      <c r="A993" t="s">
        <v>26</v>
      </c>
      <c r="B993" t="s">
        <v>0</v>
      </c>
      <c r="C993" t="s">
        <v>16</v>
      </c>
      <c r="D993">
        <v>2019</v>
      </c>
      <c r="E993">
        <v>1206</v>
      </c>
      <c r="F993">
        <v>4252</v>
      </c>
      <c r="G993">
        <v>1464</v>
      </c>
      <c r="H993">
        <f>Sales[[#This Row],[Turnover]]-Sales[[#This Row],[Cost]]</f>
        <v>2788</v>
      </c>
      <c r="I993" s="3">
        <f>Sales[[#This Row],[Turnover]]*1000/Sales[[#This Row],[Quantity]]</f>
        <v>3525.704809286899</v>
      </c>
      <c r="J993" s="5">
        <f>Sales[[#This Row],[Quantity]]/SUM(Sales[Quantity])</f>
        <v>2.1891807998315458E-3</v>
      </c>
    </row>
    <row r="994" spans="1:10" x14ac:dyDescent="0.25">
      <c r="A994" t="s">
        <v>26</v>
      </c>
      <c r="B994" t="s">
        <v>0</v>
      </c>
      <c r="C994" t="s">
        <v>1</v>
      </c>
      <c r="D994">
        <v>2019</v>
      </c>
      <c r="E994">
        <v>1064</v>
      </c>
      <c r="F994">
        <v>3720</v>
      </c>
      <c r="G994">
        <v>1292</v>
      </c>
      <c r="H994">
        <f>Sales[[#This Row],[Turnover]]-Sales[[#This Row],[Cost]]</f>
        <v>2428</v>
      </c>
      <c r="I994" s="3">
        <f>Sales[[#This Row],[Turnover]]*1000/Sales[[#This Row],[Quantity]]</f>
        <v>3496.2406015037595</v>
      </c>
      <c r="J994" s="5">
        <f>Sales[[#This Row],[Quantity]]/SUM(Sales[Quantity])</f>
        <v>1.9314165597187102E-3</v>
      </c>
    </row>
    <row r="995" spans="1:10" x14ac:dyDescent="0.25">
      <c r="A995" t="s">
        <v>26</v>
      </c>
      <c r="B995" t="s">
        <v>0</v>
      </c>
      <c r="C995" t="s">
        <v>17</v>
      </c>
      <c r="D995">
        <v>2019</v>
      </c>
      <c r="E995">
        <v>934</v>
      </c>
      <c r="F995">
        <v>3243</v>
      </c>
      <c r="G995">
        <v>1134</v>
      </c>
      <c r="H995">
        <f>Sales[[#This Row],[Turnover]]-Sales[[#This Row],[Cost]]</f>
        <v>2109</v>
      </c>
      <c r="I995" s="3">
        <f>Sales[[#This Row],[Turnover]]*1000/Sales[[#This Row],[Quantity]]</f>
        <v>3472.1627408993577</v>
      </c>
      <c r="J995" s="5">
        <f>Sales[[#This Row],[Quantity]]/SUM(Sales[Quantity])</f>
        <v>1.695435213136537E-3</v>
      </c>
    </row>
    <row r="996" spans="1:10" x14ac:dyDescent="0.25">
      <c r="A996" t="s">
        <v>26</v>
      </c>
      <c r="B996" t="s">
        <v>0</v>
      </c>
      <c r="C996" t="s">
        <v>15</v>
      </c>
      <c r="D996">
        <v>2019</v>
      </c>
      <c r="E996">
        <v>1062</v>
      </c>
      <c r="F996">
        <v>3720</v>
      </c>
      <c r="G996">
        <v>1289</v>
      </c>
      <c r="H996">
        <f>Sales[[#This Row],[Turnover]]-Sales[[#This Row],[Cost]]</f>
        <v>2431</v>
      </c>
      <c r="I996" s="3">
        <f>Sales[[#This Row],[Turnover]]*1000/Sales[[#This Row],[Quantity]]</f>
        <v>3502.824858757062</v>
      </c>
      <c r="J996" s="5">
        <f>Sales[[#This Row],[Quantity]]/SUM(Sales[Quantity])</f>
        <v>1.9277860774635999E-3</v>
      </c>
    </row>
    <row r="997" spans="1:10" x14ac:dyDescent="0.25">
      <c r="A997" t="s">
        <v>26</v>
      </c>
      <c r="B997" t="s">
        <v>0</v>
      </c>
      <c r="C997" t="s">
        <v>14</v>
      </c>
      <c r="D997">
        <v>2019</v>
      </c>
      <c r="E997">
        <v>1004</v>
      </c>
      <c r="F997">
        <v>3492</v>
      </c>
      <c r="G997">
        <v>1219</v>
      </c>
      <c r="H997">
        <f>Sales[[#This Row],[Turnover]]-Sales[[#This Row],[Cost]]</f>
        <v>2273</v>
      </c>
      <c r="I997" s="3">
        <f>Sales[[#This Row],[Turnover]]*1000/Sales[[#This Row],[Quantity]]</f>
        <v>3478.0876494023905</v>
      </c>
      <c r="J997" s="5">
        <f>Sales[[#This Row],[Quantity]]/SUM(Sales[Quantity])</f>
        <v>1.8225020920653995E-3</v>
      </c>
    </row>
    <row r="998" spans="1:10" x14ac:dyDescent="0.25">
      <c r="A998" t="s">
        <v>26</v>
      </c>
      <c r="B998" t="s">
        <v>0</v>
      </c>
      <c r="C998" t="s">
        <v>2</v>
      </c>
      <c r="D998">
        <v>2019</v>
      </c>
      <c r="E998">
        <v>912</v>
      </c>
      <c r="F998">
        <v>3180</v>
      </c>
      <c r="G998">
        <v>1108</v>
      </c>
      <c r="H998">
        <f>Sales[[#This Row],[Turnover]]-Sales[[#This Row],[Cost]]</f>
        <v>2072</v>
      </c>
      <c r="I998" s="3">
        <f>Sales[[#This Row],[Turnover]]*1000/Sales[[#This Row],[Quantity]]</f>
        <v>3486.8421052631579</v>
      </c>
      <c r="J998" s="5">
        <f>Sales[[#This Row],[Quantity]]/SUM(Sales[Quantity])</f>
        <v>1.655499908330323E-3</v>
      </c>
    </row>
    <row r="999" spans="1:10" x14ac:dyDescent="0.25">
      <c r="A999" t="s">
        <v>26</v>
      </c>
      <c r="B999" t="s">
        <v>0</v>
      </c>
      <c r="C999" t="s">
        <v>3</v>
      </c>
      <c r="D999">
        <v>2019</v>
      </c>
      <c r="E999">
        <v>792</v>
      </c>
      <c r="F999">
        <v>2790</v>
      </c>
      <c r="G999">
        <v>961</v>
      </c>
      <c r="H999">
        <f>Sales[[#This Row],[Turnover]]-Sales[[#This Row],[Cost]]</f>
        <v>1829</v>
      </c>
      <c r="I999" s="3">
        <f>Sales[[#This Row],[Turnover]]*1000/Sales[[#This Row],[Quantity]]</f>
        <v>3522.7272727272725</v>
      </c>
      <c r="J999" s="5">
        <f>Sales[[#This Row],[Quantity]]/SUM(Sales[Quantity])</f>
        <v>1.4376709730237016E-3</v>
      </c>
    </row>
    <row r="1000" spans="1:10" x14ac:dyDescent="0.25">
      <c r="A1000" t="s">
        <v>26</v>
      </c>
      <c r="B1000" t="s">
        <v>0</v>
      </c>
      <c r="C1000" t="s">
        <v>18</v>
      </c>
      <c r="D1000">
        <v>2019</v>
      </c>
      <c r="E1000">
        <v>707</v>
      </c>
      <c r="F1000">
        <v>2489</v>
      </c>
      <c r="G1000">
        <v>858</v>
      </c>
      <c r="H1000">
        <f>Sales[[#This Row],[Turnover]]-Sales[[#This Row],[Cost]]</f>
        <v>1631</v>
      </c>
      <c r="I1000" s="3">
        <f>Sales[[#This Row],[Turnover]]*1000/Sales[[#This Row],[Quantity]]</f>
        <v>3520.5091937765205</v>
      </c>
      <c r="J1000" s="5">
        <f>Sales[[#This Row],[Quantity]]/SUM(Sales[Quantity])</f>
        <v>1.2833754771815113E-3</v>
      </c>
    </row>
    <row r="1001" spans="1:10" x14ac:dyDescent="0.25">
      <c r="A1001" t="s">
        <v>29</v>
      </c>
      <c r="B1001" t="s">
        <v>0</v>
      </c>
      <c r="C1001" t="s">
        <v>12</v>
      </c>
      <c r="D1001">
        <v>2019</v>
      </c>
      <c r="E1001">
        <v>1030</v>
      </c>
      <c r="F1001">
        <v>4182</v>
      </c>
      <c r="G1001">
        <v>1473</v>
      </c>
      <c r="H1001">
        <f>Sales[[#This Row],[Turnover]]-Sales[[#This Row],[Cost]]</f>
        <v>2709</v>
      </c>
      <c r="I1001" s="3">
        <f>Sales[[#This Row],[Turnover]]*1000/Sales[[#This Row],[Quantity]]</f>
        <v>4060.1941747572814</v>
      </c>
      <c r="J1001" s="5">
        <f>Sales[[#This Row],[Quantity]]/SUM(Sales[Quantity])</f>
        <v>1.8696983613818341E-3</v>
      </c>
    </row>
    <row r="1002" spans="1:10" x14ac:dyDescent="0.25">
      <c r="A1002" t="s">
        <v>29</v>
      </c>
      <c r="B1002" t="s">
        <v>0</v>
      </c>
      <c r="C1002" t="s">
        <v>13</v>
      </c>
      <c r="D1002">
        <v>2019</v>
      </c>
      <c r="E1002">
        <v>913</v>
      </c>
      <c r="F1002">
        <v>3713</v>
      </c>
      <c r="G1002">
        <v>1306</v>
      </c>
      <c r="H1002">
        <f>Sales[[#This Row],[Turnover]]-Sales[[#This Row],[Cost]]</f>
        <v>2407</v>
      </c>
      <c r="I1002" s="3">
        <f>Sales[[#This Row],[Turnover]]*1000/Sales[[#This Row],[Quantity]]</f>
        <v>4066.8127053669223</v>
      </c>
      <c r="J1002" s="5">
        <f>Sales[[#This Row],[Quantity]]/SUM(Sales[Quantity])</f>
        <v>1.6573151494578783E-3</v>
      </c>
    </row>
    <row r="1003" spans="1:10" x14ac:dyDescent="0.25">
      <c r="A1003" t="s">
        <v>29</v>
      </c>
      <c r="B1003" t="s">
        <v>0</v>
      </c>
      <c r="C1003" t="s">
        <v>16</v>
      </c>
      <c r="D1003">
        <v>2019</v>
      </c>
      <c r="E1003">
        <v>1070</v>
      </c>
      <c r="F1003">
        <v>4410</v>
      </c>
      <c r="G1003">
        <v>1531</v>
      </c>
      <c r="H1003">
        <f>Sales[[#This Row],[Turnover]]-Sales[[#This Row],[Cost]]</f>
        <v>2879</v>
      </c>
      <c r="I1003" s="3">
        <f>Sales[[#This Row],[Turnover]]*1000/Sales[[#This Row],[Quantity]]</f>
        <v>4121.4953271028035</v>
      </c>
      <c r="J1003" s="5">
        <f>Sales[[#This Row],[Quantity]]/SUM(Sales[Quantity])</f>
        <v>1.9423080064840414E-3</v>
      </c>
    </row>
    <row r="1004" spans="1:10" x14ac:dyDescent="0.25">
      <c r="A1004" t="s">
        <v>29</v>
      </c>
      <c r="B1004" t="s">
        <v>0</v>
      </c>
      <c r="C1004" t="s">
        <v>1</v>
      </c>
      <c r="D1004">
        <v>2019</v>
      </c>
      <c r="E1004">
        <v>934</v>
      </c>
      <c r="F1004">
        <v>3813</v>
      </c>
      <c r="G1004">
        <v>1336</v>
      </c>
      <c r="H1004">
        <f>Sales[[#This Row],[Turnover]]-Sales[[#This Row],[Cost]]</f>
        <v>2477</v>
      </c>
      <c r="I1004" s="3">
        <f>Sales[[#This Row],[Turnover]]*1000/Sales[[#This Row],[Quantity]]</f>
        <v>4082.4411134903639</v>
      </c>
      <c r="J1004" s="5">
        <f>Sales[[#This Row],[Quantity]]/SUM(Sales[Quantity])</f>
        <v>1.695435213136537E-3</v>
      </c>
    </row>
    <row r="1005" spans="1:10" x14ac:dyDescent="0.25">
      <c r="A1005" t="s">
        <v>29</v>
      </c>
      <c r="B1005" t="s">
        <v>0</v>
      </c>
      <c r="C1005" t="s">
        <v>17</v>
      </c>
      <c r="D1005">
        <v>2019</v>
      </c>
      <c r="E1005">
        <v>945</v>
      </c>
      <c r="F1005">
        <v>3897</v>
      </c>
      <c r="G1005">
        <v>1352</v>
      </c>
      <c r="H1005">
        <f>Sales[[#This Row],[Turnover]]-Sales[[#This Row],[Cost]]</f>
        <v>2545</v>
      </c>
      <c r="I1005" s="3">
        <f>Sales[[#This Row],[Turnover]]*1000/Sales[[#This Row],[Quantity]]</f>
        <v>4123.8095238095239</v>
      </c>
      <c r="J1005" s="5">
        <f>Sales[[#This Row],[Quantity]]/SUM(Sales[Quantity])</f>
        <v>1.7154028655396441E-3</v>
      </c>
    </row>
    <row r="1006" spans="1:10" x14ac:dyDescent="0.25">
      <c r="A1006" t="s">
        <v>29</v>
      </c>
      <c r="B1006" t="s">
        <v>0</v>
      </c>
      <c r="C1006" t="s">
        <v>15</v>
      </c>
      <c r="D1006">
        <v>2019</v>
      </c>
      <c r="E1006">
        <v>987</v>
      </c>
      <c r="F1006">
        <v>4009</v>
      </c>
      <c r="G1006">
        <v>1412</v>
      </c>
      <c r="H1006">
        <f>Sales[[#This Row],[Turnover]]-Sales[[#This Row],[Cost]]</f>
        <v>2597</v>
      </c>
      <c r="I1006" s="3">
        <f>Sales[[#This Row],[Turnover]]*1000/Sales[[#This Row],[Quantity]]</f>
        <v>4061.8034447821683</v>
      </c>
      <c r="J1006" s="5">
        <f>Sales[[#This Row],[Quantity]]/SUM(Sales[Quantity])</f>
        <v>1.7916429928969615E-3</v>
      </c>
    </row>
    <row r="1007" spans="1:10" x14ac:dyDescent="0.25">
      <c r="A1007" t="s">
        <v>29</v>
      </c>
      <c r="B1007" t="s">
        <v>0</v>
      </c>
      <c r="C1007" t="s">
        <v>14</v>
      </c>
      <c r="D1007">
        <v>2019</v>
      </c>
      <c r="E1007">
        <v>879</v>
      </c>
      <c r="F1007">
        <v>3569</v>
      </c>
      <c r="G1007">
        <v>1257</v>
      </c>
      <c r="H1007">
        <f>Sales[[#This Row],[Turnover]]-Sales[[#This Row],[Cost]]</f>
        <v>2312</v>
      </c>
      <c r="I1007" s="3">
        <f>Sales[[#This Row],[Turnover]]*1000/Sales[[#This Row],[Quantity]]</f>
        <v>4060.2957906712172</v>
      </c>
      <c r="J1007" s="5">
        <f>Sales[[#This Row],[Quantity]]/SUM(Sales[Quantity])</f>
        <v>1.5955969511210022E-3</v>
      </c>
    </row>
    <row r="1008" spans="1:10" x14ac:dyDescent="0.25">
      <c r="A1008" t="s">
        <v>29</v>
      </c>
      <c r="B1008" t="s">
        <v>0</v>
      </c>
      <c r="C1008" t="s">
        <v>2</v>
      </c>
      <c r="D1008">
        <v>2019</v>
      </c>
      <c r="E1008">
        <v>742</v>
      </c>
      <c r="F1008">
        <v>3066</v>
      </c>
      <c r="G1008">
        <v>1062</v>
      </c>
      <c r="H1008">
        <f>Sales[[#This Row],[Turnover]]-Sales[[#This Row],[Cost]]</f>
        <v>2004</v>
      </c>
      <c r="I1008" s="3">
        <f>Sales[[#This Row],[Turnover]]*1000/Sales[[#This Row],[Quantity]]</f>
        <v>4132.0754716981128</v>
      </c>
      <c r="J1008" s="5">
        <f>Sales[[#This Row],[Quantity]]/SUM(Sales[Quantity])</f>
        <v>1.3469089166459427E-3</v>
      </c>
    </row>
    <row r="1009" spans="1:10" x14ac:dyDescent="0.25">
      <c r="A1009" t="s">
        <v>29</v>
      </c>
      <c r="B1009" t="s">
        <v>0</v>
      </c>
      <c r="C1009" t="s">
        <v>3</v>
      </c>
      <c r="D1009">
        <v>2019</v>
      </c>
      <c r="E1009">
        <v>825</v>
      </c>
      <c r="F1009">
        <v>3397</v>
      </c>
      <c r="G1009">
        <v>1180</v>
      </c>
      <c r="H1009">
        <f>Sales[[#This Row],[Turnover]]-Sales[[#This Row],[Cost]]</f>
        <v>2217</v>
      </c>
      <c r="I1009" s="3">
        <f>Sales[[#This Row],[Turnover]]*1000/Sales[[#This Row],[Quantity]]</f>
        <v>4117.575757575758</v>
      </c>
      <c r="J1009" s="5">
        <f>Sales[[#This Row],[Quantity]]/SUM(Sales[Quantity])</f>
        <v>1.4975739302330224E-3</v>
      </c>
    </row>
    <row r="1010" spans="1:10" x14ac:dyDescent="0.25">
      <c r="A1010" t="s">
        <v>29</v>
      </c>
      <c r="B1010" t="s">
        <v>0</v>
      </c>
      <c r="C1010" t="s">
        <v>18</v>
      </c>
      <c r="D1010">
        <v>2019</v>
      </c>
      <c r="E1010">
        <v>867</v>
      </c>
      <c r="F1010">
        <v>3539</v>
      </c>
      <c r="G1010">
        <v>1240</v>
      </c>
      <c r="H1010">
        <f>Sales[[#This Row],[Turnover]]-Sales[[#This Row],[Cost]]</f>
        <v>2299</v>
      </c>
      <c r="I1010" s="3">
        <f>Sales[[#This Row],[Turnover]]*1000/Sales[[#This Row],[Quantity]]</f>
        <v>4081.8915801614762</v>
      </c>
      <c r="J1010" s="5">
        <f>Sales[[#This Row],[Quantity]]/SUM(Sales[Quantity])</f>
        <v>1.57381405759034E-3</v>
      </c>
    </row>
    <row r="1011" spans="1:10" x14ac:dyDescent="0.25">
      <c r="A1011" t="s">
        <v>27</v>
      </c>
      <c r="B1011" t="s">
        <v>0</v>
      </c>
      <c r="C1011" t="s">
        <v>12</v>
      </c>
      <c r="D1011">
        <v>2020</v>
      </c>
      <c r="E1011">
        <v>2012</v>
      </c>
      <c r="F1011">
        <v>1217</v>
      </c>
      <c r="G1011">
        <v>1171</v>
      </c>
      <c r="H1011">
        <f>Sales[[#This Row],[Turnover]]-Sales[[#This Row],[Cost]]</f>
        <v>46</v>
      </c>
      <c r="I1011" s="3">
        <f>Sales[[#This Row],[Turnover]]*1000/Sales[[#This Row],[Quantity]]</f>
        <v>604.87077534791251</v>
      </c>
      <c r="J1011" s="5">
        <f>Sales[[#This Row],[Quantity]]/SUM(Sales[Quantity])</f>
        <v>3.6522651486410197E-3</v>
      </c>
    </row>
    <row r="1012" spans="1:10" x14ac:dyDescent="0.25">
      <c r="A1012" t="s">
        <v>27</v>
      </c>
      <c r="B1012" t="s">
        <v>0</v>
      </c>
      <c r="C1012" t="s">
        <v>13</v>
      </c>
      <c r="D1012">
        <v>2020</v>
      </c>
      <c r="E1012">
        <v>2487</v>
      </c>
      <c r="F1012">
        <v>1477</v>
      </c>
      <c r="G1012">
        <v>1447</v>
      </c>
      <c r="H1012">
        <f>Sales[[#This Row],[Turnover]]-Sales[[#This Row],[Cost]]</f>
        <v>30</v>
      </c>
      <c r="I1012" s="3">
        <f>Sales[[#This Row],[Turnover]]*1000/Sales[[#This Row],[Quantity]]</f>
        <v>593.88821873743461</v>
      </c>
      <c r="J1012" s="5">
        <f>Sales[[#This Row],[Quantity]]/SUM(Sales[Quantity])</f>
        <v>4.5145046842297301E-3</v>
      </c>
    </row>
    <row r="1013" spans="1:10" x14ac:dyDescent="0.25">
      <c r="A1013" t="s">
        <v>27</v>
      </c>
      <c r="B1013" t="s">
        <v>0</v>
      </c>
      <c r="C1013" t="s">
        <v>16</v>
      </c>
      <c r="D1013">
        <v>2020</v>
      </c>
      <c r="E1013">
        <v>2222</v>
      </c>
      <c r="F1013">
        <v>1340</v>
      </c>
      <c r="G1013">
        <v>1293</v>
      </c>
      <c r="H1013">
        <f>Sales[[#This Row],[Turnover]]-Sales[[#This Row],[Cost]]</f>
        <v>47</v>
      </c>
      <c r="I1013" s="3">
        <f>Sales[[#This Row],[Turnover]]*1000/Sales[[#This Row],[Quantity]]</f>
        <v>603.0603060306031</v>
      </c>
      <c r="J1013" s="5">
        <f>Sales[[#This Row],[Quantity]]/SUM(Sales[Quantity])</f>
        <v>4.0334657854276075E-3</v>
      </c>
    </row>
    <row r="1014" spans="1:10" x14ac:dyDescent="0.25">
      <c r="A1014" t="s">
        <v>27</v>
      </c>
      <c r="B1014" t="s">
        <v>0</v>
      </c>
      <c r="C1014" t="s">
        <v>1</v>
      </c>
      <c r="D1014">
        <v>2020</v>
      </c>
      <c r="E1014">
        <v>1967</v>
      </c>
      <c r="F1014">
        <v>1180</v>
      </c>
      <c r="G1014">
        <v>1145</v>
      </c>
      <c r="H1014">
        <f>Sales[[#This Row],[Turnover]]-Sales[[#This Row],[Cost]]</f>
        <v>35</v>
      </c>
      <c r="I1014" s="3">
        <f>Sales[[#This Row],[Turnover]]*1000/Sales[[#This Row],[Quantity]]</f>
        <v>599.89832231825119</v>
      </c>
      <c r="J1014" s="5">
        <f>Sales[[#This Row],[Quantity]]/SUM(Sales[Quantity])</f>
        <v>3.5705792979010367E-3</v>
      </c>
    </row>
    <row r="1015" spans="1:10" x14ac:dyDescent="0.25">
      <c r="A1015" t="s">
        <v>27</v>
      </c>
      <c r="B1015" t="s">
        <v>0</v>
      </c>
      <c r="C1015" t="s">
        <v>17</v>
      </c>
      <c r="D1015">
        <v>2020</v>
      </c>
      <c r="E1015">
        <v>1665</v>
      </c>
      <c r="F1015">
        <v>999</v>
      </c>
      <c r="G1015">
        <v>969</v>
      </c>
      <c r="H1015">
        <f>Sales[[#This Row],[Turnover]]-Sales[[#This Row],[Cost]]</f>
        <v>30</v>
      </c>
      <c r="I1015" s="3">
        <f>Sales[[#This Row],[Turnover]]*1000/Sales[[#This Row],[Quantity]]</f>
        <v>600</v>
      </c>
      <c r="J1015" s="5">
        <f>Sales[[#This Row],[Quantity]]/SUM(Sales[Quantity])</f>
        <v>3.0223764773793728E-3</v>
      </c>
    </row>
    <row r="1016" spans="1:10" x14ac:dyDescent="0.25">
      <c r="A1016" t="s">
        <v>27</v>
      </c>
      <c r="B1016" t="s">
        <v>0</v>
      </c>
      <c r="C1016" t="s">
        <v>15</v>
      </c>
      <c r="D1016">
        <v>2020</v>
      </c>
      <c r="E1016">
        <v>1673</v>
      </c>
      <c r="F1016">
        <v>1002</v>
      </c>
      <c r="G1016">
        <v>974</v>
      </c>
      <c r="H1016">
        <f>Sales[[#This Row],[Turnover]]-Sales[[#This Row],[Cost]]</f>
        <v>28</v>
      </c>
      <c r="I1016" s="3">
        <f>Sales[[#This Row],[Turnover]]*1000/Sales[[#This Row],[Quantity]]</f>
        <v>598.92408846383739</v>
      </c>
      <c r="J1016" s="5">
        <f>Sales[[#This Row],[Quantity]]/SUM(Sales[Quantity])</f>
        <v>3.0368984063998141E-3</v>
      </c>
    </row>
    <row r="1017" spans="1:10" x14ac:dyDescent="0.25">
      <c r="A1017" t="s">
        <v>27</v>
      </c>
      <c r="B1017" t="s">
        <v>0</v>
      </c>
      <c r="C1017" t="s">
        <v>14</v>
      </c>
      <c r="D1017">
        <v>2020</v>
      </c>
      <c r="E1017">
        <v>1740</v>
      </c>
      <c r="F1017">
        <v>1046</v>
      </c>
      <c r="G1017">
        <v>1013</v>
      </c>
      <c r="H1017">
        <f>Sales[[#This Row],[Turnover]]-Sales[[#This Row],[Cost]]</f>
        <v>33</v>
      </c>
      <c r="I1017" s="3">
        <f>Sales[[#This Row],[Turnover]]*1000/Sales[[#This Row],[Quantity]]</f>
        <v>601.14942528735628</v>
      </c>
      <c r="J1017" s="5">
        <f>Sales[[#This Row],[Quantity]]/SUM(Sales[Quantity])</f>
        <v>3.1585195619460112E-3</v>
      </c>
    </row>
    <row r="1018" spans="1:10" x14ac:dyDescent="0.25">
      <c r="A1018" t="s">
        <v>27</v>
      </c>
      <c r="B1018" t="s">
        <v>0</v>
      </c>
      <c r="C1018" t="s">
        <v>2</v>
      </c>
      <c r="D1018">
        <v>2020</v>
      </c>
      <c r="E1018">
        <v>1916</v>
      </c>
      <c r="F1018">
        <v>1153</v>
      </c>
      <c r="G1018">
        <v>1115</v>
      </c>
      <c r="H1018">
        <f>Sales[[#This Row],[Turnover]]-Sales[[#This Row],[Cost]]</f>
        <v>38</v>
      </c>
      <c r="I1018" s="3">
        <f>Sales[[#This Row],[Turnover]]*1000/Sales[[#This Row],[Quantity]]</f>
        <v>601.7745302713987</v>
      </c>
      <c r="J1018" s="5">
        <f>Sales[[#This Row],[Quantity]]/SUM(Sales[Quantity])</f>
        <v>3.4780020003957225E-3</v>
      </c>
    </row>
    <row r="1019" spans="1:10" x14ac:dyDescent="0.25">
      <c r="A1019" t="s">
        <v>27</v>
      </c>
      <c r="B1019" t="s">
        <v>0</v>
      </c>
      <c r="C1019" t="s">
        <v>3</v>
      </c>
      <c r="D1019">
        <v>2020</v>
      </c>
      <c r="E1019">
        <v>1775</v>
      </c>
      <c r="F1019">
        <v>1059</v>
      </c>
      <c r="G1019">
        <v>1033</v>
      </c>
      <c r="H1019">
        <f>Sales[[#This Row],[Turnover]]-Sales[[#This Row],[Cost]]</f>
        <v>26</v>
      </c>
      <c r="I1019" s="3">
        <f>Sales[[#This Row],[Turnover]]*1000/Sales[[#This Row],[Quantity]]</f>
        <v>596.61971830985919</v>
      </c>
      <c r="J1019" s="5">
        <f>Sales[[#This Row],[Quantity]]/SUM(Sales[Quantity])</f>
        <v>3.2220530014104424E-3</v>
      </c>
    </row>
    <row r="1020" spans="1:10" x14ac:dyDescent="0.25">
      <c r="A1020" t="s">
        <v>27</v>
      </c>
      <c r="B1020" t="s">
        <v>0</v>
      </c>
      <c r="C1020" t="s">
        <v>18</v>
      </c>
      <c r="D1020">
        <v>2020</v>
      </c>
      <c r="E1020">
        <v>1371</v>
      </c>
      <c r="F1020">
        <v>816</v>
      </c>
      <c r="G1020">
        <v>798</v>
      </c>
      <c r="H1020">
        <f>Sales[[#This Row],[Turnover]]-Sales[[#This Row],[Cost]]</f>
        <v>18</v>
      </c>
      <c r="I1020" s="3">
        <f>Sales[[#This Row],[Turnover]]*1000/Sales[[#This Row],[Quantity]]</f>
        <v>595.18599562363238</v>
      </c>
      <c r="J1020" s="5">
        <f>Sales[[#This Row],[Quantity]]/SUM(Sales[Quantity])</f>
        <v>2.4886955858781502E-3</v>
      </c>
    </row>
    <row r="1021" spans="1:10" x14ac:dyDescent="0.25">
      <c r="A1021" t="s">
        <v>27</v>
      </c>
      <c r="B1021" t="s">
        <v>0</v>
      </c>
      <c r="C1021" t="s">
        <v>4</v>
      </c>
      <c r="D1021">
        <v>2020</v>
      </c>
      <c r="E1021">
        <v>1612</v>
      </c>
      <c r="F1021">
        <v>974</v>
      </c>
      <c r="G1021">
        <v>938</v>
      </c>
      <c r="H1021">
        <f>Sales[[#This Row],[Turnover]]-Sales[[#This Row],[Cost]]</f>
        <v>36</v>
      </c>
      <c r="I1021" s="3">
        <f>Sales[[#This Row],[Turnover]]*1000/Sales[[#This Row],[Quantity]]</f>
        <v>604.21836228287839</v>
      </c>
      <c r="J1021" s="5">
        <f>Sales[[#This Row],[Quantity]]/SUM(Sales[Quantity])</f>
        <v>2.9261686976189481E-3</v>
      </c>
    </row>
    <row r="1022" spans="1:10" x14ac:dyDescent="0.25">
      <c r="A1022" t="s">
        <v>27</v>
      </c>
      <c r="B1022" t="s">
        <v>0</v>
      </c>
      <c r="C1022" t="s">
        <v>19</v>
      </c>
      <c r="D1022">
        <v>2020</v>
      </c>
      <c r="E1022">
        <v>1208</v>
      </c>
      <c r="F1022">
        <v>728</v>
      </c>
      <c r="G1022">
        <v>703</v>
      </c>
      <c r="H1022">
        <f>Sales[[#This Row],[Turnover]]-Sales[[#This Row],[Cost]]</f>
        <v>25</v>
      </c>
      <c r="I1022" s="3">
        <f>Sales[[#This Row],[Turnover]]*1000/Sales[[#This Row],[Quantity]]</f>
        <v>602.64900662251659</v>
      </c>
      <c r="J1022" s="5">
        <f>Sales[[#This Row],[Quantity]]/SUM(Sales[Quantity])</f>
        <v>2.1928112820866559E-3</v>
      </c>
    </row>
    <row r="1023" spans="1:10" x14ac:dyDescent="0.25">
      <c r="A1023" t="s">
        <v>28</v>
      </c>
      <c r="B1023" t="s">
        <v>0</v>
      </c>
      <c r="C1023" t="s">
        <v>12</v>
      </c>
      <c r="D1023">
        <v>2020</v>
      </c>
      <c r="E1023">
        <v>1629</v>
      </c>
      <c r="F1023">
        <v>1146</v>
      </c>
      <c r="G1023">
        <v>980</v>
      </c>
      <c r="H1023">
        <f>Sales[[#This Row],[Turnover]]-Sales[[#This Row],[Cost]]</f>
        <v>166</v>
      </c>
      <c r="I1023" s="3">
        <f>Sales[[#This Row],[Turnover]]*1000/Sales[[#This Row],[Quantity]]</f>
        <v>703.49907918968688</v>
      </c>
      <c r="J1023" s="5">
        <f>Sales[[#This Row],[Quantity]]/SUM(Sales[Quantity])</f>
        <v>2.9570277967873862E-3</v>
      </c>
    </row>
    <row r="1024" spans="1:10" x14ac:dyDescent="0.25">
      <c r="A1024" t="s">
        <v>28</v>
      </c>
      <c r="B1024" t="s">
        <v>0</v>
      </c>
      <c r="C1024" t="s">
        <v>13</v>
      </c>
      <c r="D1024">
        <v>2020</v>
      </c>
      <c r="E1024">
        <v>1829</v>
      </c>
      <c r="F1024">
        <v>1271</v>
      </c>
      <c r="G1024">
        <v>1101</v>
      </c>
      <c r="H1024">
        <f>Sales[[#This Row],[Turnover]]-Sales[[#This Row],[Cost]]</f>
        <v>170</v>
      </c>
      <c r="I1024" s="3">
        <f>Sales[[#This Row],[Turnover]]*1000/Sales[[#This Row],[Quantity]]</f>
        <v>694.91525423728808</v>
      </c>
      <c r="J1024" s="5">
        <f>Sales[[#This Row],[Quantity]]/SUM(Sales[Quantity])</f>
        <v>3.3200760222984222E-3</v>
      </c>
    </row>
    <row r="1025" spans="1:10" x14ac:dyDescent="0.25">
      <c r="A1025" t="s">
        <v>28</v>
      </c>
      <c r="B1025" t="s">
        <v>0</v>
      </c>
      <c r="C1025" t="s">
        <v>16</v>
      </c>
      <c r="D1025">
        <v>2020</v>
      </c>
      <c r="E1025">
        <v>1684</v>
      </c>
      <c r="F1025">
        <v>1179</v>
      </c>
      <c r="G1025">
        <v>1014</v>
      </c>
      <c r="H1025">
        <f>Sales[[#This Row],[Turnover]]-Sales[[#This Row],[Cost]]</f>
        <v>165</v>
      </c>
      <c r="I1025" s="3">
        <f>Sales[[#This Row],[Turnover]]*1000/Sales[[#This Row],[Quantity]]</f>
        <v>700.11876484560571</v>
      </c>
      <c r="J1025" s="5">
        <f>Sales[[#This Row],[Quantity]]/SUM(Sales[Quantity])</f>
        <v>3.056866058802921E-3</v>
      </c>
    </row>
    <row r="1026" spans="1:10" x14ac:dyDescent="0.25">
      <c r="A1026" t="s">
        <v>28</v>
      </c>
      <c r="B1026" t="s">
        <v>0</v>
      </c>
      <c r="C1026" t="s">
        <v>1</v>
      </c>
      <c r="D1026">
        <v>2020</v>
      </c>
      <c r="E1026">
        <v>1701</v>
      </c>
      <c r="F1026">
        <v>1189</v>
      </c>
      <c r="G1026">
        <v>1024</v>
      </c>
      <c r="H1026">
        <f>Sales[[#This Row],[Turnover]]-Sales[[#This Row],[Cost]]</f>
        <v>165</v>
      </c>
      <c r="I1026" s="3">
        <f>Sales[[#This Row],[Turnover]]*1000/Sales[[#This Row],[Quantity]]</f>
        <v>699.00058788947683</v>
      </c>
      <c r="J1026" s="5">
        <f>Sales[[#This Row],[Quantity]]/SUM(Sales[Quantity])</f>
        <v>3.087725157971359E-3</v>
      </c>
    </row>
    <row r="1027" spans="1:10" x14ac:dyDescent="0.25">
      <c r="A1027" t="s">
        <v>28</v>
      </c>
      <c r="B1027" t="s">
        <v>0</v>
      </c>
      <c r="C1027" t="s">
        <v>17</v>
      </c>
      <c r="D1027">
        <v>2020</v>
      </c>
      <c r="E1027">
        <v>1776</v>
      </c>
      <c r="F1027">
        <v>1238</v>
      </c>
      <c r="G1027">
        <v>1069</v>
      </c>
      <c r="H1027">
        <f>Sales[[#This Row],[Turnover]]-Sales[[#This Row],[Cost]]</f>
        <v>169</v>
      </c>
      <c r="I1027" s="3">
        <f>Sales[[#This Row],[Turnover]]*1000/Sales[[#This Row],[Quantity]]</f>
        <v>697.07207207207205</v>
      </c>
      <c r="J1027" s="5">
        <f>Sales[[#This Row],[Quantity]]/SUM(Sales[Quantity])</f>
        <v>3.2238682425379975E-3</v>
      </c>
    </row>
    <row r="1028" spans="1:10" x14ac:dyDescent="0.25">
      <c r="A1028" t="s">
        <v>28</v>
      </c>
      <c r="B1028" t="s">
        <v>0</v>
      </c>
      <c r="C1028" t="s">
        <v>15</v>
      </c>
      <c r="D1028">
        <v>2020</v>
      </c>
      <c r="E1028">
        <v>1456</v>
      </c>
      <c r="F1028">
        <v>1025</v>
      </c>
      <c r="G1028">
        <v>877</v>
      </c>
      <c r="H1028">
        <f>Sales[[#This Row],[Turnover]]-Sales[[#This Row],[Cost]]</f>
        <v>148</v>
      </c>
      <c r="I1028" s="3">
        <f>Sales[[#This Row],[Turnover]]*1000/Sales[[#This Row],[Quantity]]</f>
        <v>703.9835164835165</v>
      </c>
      <c r="J1028" s="5">
        <f>Sales[[#This Row],[Quantity]]/SUM(Sales[Quantity])</f>
        <v>2.6429910817203405E-3</v>
      </c>
    </row>
    <row r="1029" spans="1:10" x14ac:dyDescent="0.25">
      <c r="A1029" t="s">
        <v>28</v>
      </c>
      <c r="B1029" t="s">
        <v>0</v>
      </c>
      <c r="C1029" t="s">
        <v>14</v>
      </c>
      <c r="D1029">
        <v>2020</v>
      </c>
      <c r="E1029">
        <v>1630</v>
      </c>
      <c r="F1029">
        <v>1133</v>
      </c>
      <c r="G1029">
        <v>981</v>
      </c>
      <c r="H1029">
        <f>Sales[[#This Row],[Turnover]]-Sales[[#This Row],[Cost]]</f>
        <v>152</v>
      </c>
      <c r="I1029" s="3">
        <f>Sales[[#This Row],[Turnover]]*1000/Sales[[#This Row],[Quantity]]</f>
        <v>695.09202453987734</v>
      </c>
      <c r="J1029" s="5">
        <f>Sales[[#This Row],[Quantity]]/SUM(Sales[Quantity])</f>
        <v>2.9588430379149412E-3</v>
      </c>
    </row>
    <row r="1030" spans="1:10" x14ac:dyDescent="0.25">
      <c r="A1030" t="s">
        <v>28</v>
      </c>
      <c r="B1030" t="s">
        <v>0</v>
      </c>
      <c r="C1030" t="s">
        <v>2</v>
      </c>
      <c r="D1030">
        <v>2020</v>
      </c>
      <c r="E1030">
        <v>1548</v>
      </c>
      <c r="F1030">
        <v>1086</v>
      </c>
      <c r="G1030">
        <v>932</v>
      </c>
      <c r="H1030">
        <f>Sales[[#This Row],[Turnover]]-Sales[[#This Row],[Cost]]</f>
        <v>154</v>
      </c>
      <c r="I1030" s="3">
        <f>Sales[[#This Row],[Turnover]]*1000/Sales[[#This Row],[Quantity]]</f>
        <v>701.55038759689921</v>
      </c>
      <c r="J1030" s="5">
        <f>Sales[[#This Row],[Quantity]]/SUM(Sales[Quantity])</f>
        <v>2.809993265455417E-3</v>
      </c>
    </row>
    <row r="1031" spans="1:10" x14ac:dyDescent="0.25">
      <c r="A1031" t="s">
        <v>28</v>
      </c>
      <c r="B1031" t="s">
        <v>0</v>
      </c>
      <c r="C1031" t="s">
        <v>3</v>
      </c>
      <c r="D1031">
        <v>2020</v>
      </c>
      <c r="E1031">
        <v>1591</v>
      </c>
      <c r="F1031">
        <v>1105</v>
      </c>
      <c r="G1031">
        <v>957</v>
      </c>
      <c r="H1031">
        <f>Sales[[#This Row],[Turnover]]-Sales[[#This Row],[Cost]]</f>
        <v>148</v>
      </c>
      <c r="I1031" s="3">
        <f>Sales[[#This Row],[Turnover]]*1000/Sales[[#This Row],[Quantity]]</f>
        <v>694.53174104336892</v>
      </c>
      <c r="J1031" s="5">
        <f>Sales[[#This Row],[Quantity]]/SUM(Sales[Quantity])</f>
        <v>2.8880486339402894E-3</v>
      </c>
    </row>
    <row r="1032" spans="1:10" x14ac:dyDescent="0.25">
      <c r="A1032" t="s">
        <v>28</v>
      </c>
      <c r="B1032" t="s">
        <v>0</v>
      </c>
      <c r="C1032" t="s">
        <v>18</v>
      </c>
      <c r="D1032">
        <v>2020</v>
      </c>
      <c r="E1032">
        <v>1948</v>
      </c>
      <c r="F1032">
        <v>1360</v>
      </c>
      <c r="G1032">
        <v>1173</v>
      </c>
      <c r="H1032">
        <f>Sales[[#This Row],[Turnover]]-Sales[[#This Row],[Cost]]</f>
        <v>187</v>
      </c>
      <c r="I1032" s="3">
        <f>Sales[[#This Row],[Turnover]]*1000/Sales[[#This Row],[Quantity]]</f>
        <v>698.15195071868584</v>
      </c>
      <c r="J1032" s="5">
        <f>Sales[[#This Row],[Quantity]]/SUM(Sales[Quantity])</f>
        <v>3.5360897164774881E-3</v>
      </c>
    </row>
    <row r="1033" spans="1:10" x14ac:dyDescent="0.25">
      <c r="A1033" t="s">
        <v>28</v>
      </c>
      <c r="B1033" t="s">
        <v>0</v>
      </c>
      <c r="C1033" t="s">
        <v>4</v>
      </c>
      <c r="D1033">
        <v>2020</v>
      </c>
      <c r="E1033">
        <v>1683</v>
      </c>
      <c r="F1033">
        <v>1185</v>
      </c>
      <c r="G1033">
        <v>1013</v>
      </c>
      <c r="H1033">
        <f>Sales[[#This Row],[Turnover]]-Sales[[#This Row],[Cost]]</f>
        <v>172</v>
      </c>
      <c r="I1033" s="3">
        <f>Sales[[#This Row],[Turnover]]*1000/Sales[[#This Row],[Quantity]]</f>
        <v>704.09982174688059</v>
      </c>
      <c r="J1033" s="5">
        <f>Sales[[#This Row],[Quantity]]/SUM(Sales[Quantity])</f>
        <v>3.0550508176753659E-3</v>
      </c>
    </row>
    <row r="1034" spans="1:10" x14ac:dyDescent="0.25">
      <c r="A1034" t="s">
        <v>28</v>
      </c>
      <c r="B1034" t="s">
        <v>0</v>
      </c>
      <c r="C1034" t="s">
        <v>19</v>
      </c>
      <c r="D1034">
        <v>2020</v>
      </c>
      <c r="E1034">
        <v>1728</v>
      </c>
      <c r="F1034">
        <v>1220</v>
      </c>
      <c r="G1034">
        <v>1040</v>
      </c>
      <c r="H1034">
        <f>Sales[[#This Row],[Turnover]]-Sales[[#This Row],[Cost]]</f>
        <v>180</v>
      </c>
      <c r="I1034" s="3">
        <f>Sales[[#This Row],[Turnover]]*1000/Sales[[#This Row],[Quantity]]</f>
        <v>706.01851851851848</v>
      </c>
      <c r="J1034" s="5">
        <f>Sales[[#This Row],[Quantity]]/SUM(Sales[Quantity])</f>
        <v>3.1367366684153489E-3</v>
      </c>
    </row>
    <row r="1035" spans="1:10" x14ac:dyDescent="0.25">
      <c r="A1035" t="s">
        <v>29</v>
      </c>
      <c r="B1035" t="s">
        <v>0</v>
      </c>
      <c r="C1035" t="s">
        <v>12</v>
      </c>
      <c r="D1035">
        <v>2020</v>
      </c>
      <c r="E1035">
        <v>516</v>
      </c>
      <c r="F1035">
        <v>4656</v>
      </c>
      <c r="G1035">
        <v>1668</v>
      </c>
      <c r="H1035">
        <f>Sales[[#This Row],[Turnover]]-Sales[[#This Row],[Cost]]</f>
        <v>2988</v>
      </c>
      <c r="I1035" s="3">
        <f>Sales[[#This Row],[Turnover]]*1000/Sales[[#This Row],[Quantity]]</f>
        <v>9023.2558139534885</v>
      </c>
      <c r="J1035" s="5">
        <f>Sales[[#This Row],[Quantity]]/SUM(Sales[Quantity])</f>
        <v>9.3666442181847222E-4</v>
      </c>
    </row>
    <row r="1036" spans="1:10" x14ac:dyDescent="0.25">
      <c r="A1036" t="s">
        <v>29</v>
      </c>
      <c r="B1036" t="s">
        <v>0</v>
      </c>
      <c r="C1036" t="s">
        <v>13</v>
      </c>
      <c r="D1036">
        <v>2020</v>
      </c>
      <c r="E1036">
        <v>657</v>
      </c>
      <c r="F1036">
        <v>5942</v>
      </c>
      <c r="G1036">
        <v>2123</v>
      </c>
      <c r="H1036">
        <f>Sales[[#This Row],[Turnover]]-Sales[[#This Row],[Cost]]</f>
        <v>3819</v>
      </c>
      <c r="I1036" s="3">
        <f>Sales[[#This Row],[Turnover]]*1000/Sales[[#This Row],[Quantity]]</f>
        <v>9044.1400304414001</v>
      </c>
      <c r="J1036" s="5">
        <f>Sales[[#This Row],[Quantity]]/SUM(Sales[Quantity])</f>
        <v>1.1926134208037524E-3</v>
      </c>
    </row>
    <row r="1037" spans="1:10" x14ac:dyDescent="0.25">
      <c r="A1037" t="s">
        <v>29</v>
      </c>
      <c r="B1037" t="s">
        <v>0</v>
      </c>
      <c r="C1037" t="s">
        <v>16</v>
      </c>
      <c r="D1037">
        <v>2020</v>
      </c>
      <c r="E1037">
        <v>690</v>
      </c>
      <c r="F1037">
        <v>6223</v>
      </c>
      <c r="G1037">
        <v>2230</v>
      </c>
      <c r="H1037">
        <f>Sales[[#This Row],[Turnover]]-Sales[[#This Row],[Cost]]</f>
        <v>3993</v>
      </c>
      <c r="I1037" s="3">
        <f>Sales[[#This Row],[Turnover]]*1000/Sales[[#This Row],[Quantity]]</f>
        <v>9018.8405797101441</v>
      </c>
      <c r="J1037" s="5">
        <f>Sales[[#This Row],[Quantity]]/SUM(Sales[Quantity])</f>
        <v>1.2525163780130733E-3</v>
      </c>
    </row>
    <row r="1038" spans="1:10" x14ac:dyDescent="0.25">
      <c r="A1038" t="s">
        <v>29</v>
      </c>
      <c r="B1038" t="s">
        <v>0</v>
      </c>
      <c r="C1038" t="s">
        <v>1</v>
      </c>
      <c r="D1038">
        <v>2020</v>
      </c>
      <c r="E1038">
        <v>736</v>
      </c>
      <c r="F1038">
        <v>5883</v>
      </c>
      <c r="G1038">
        <v>2379</v>
      </c>
      <c r="H1038">
        <f>Sales[[#This Row],[Turnover]]-Sales[[#This Row],[Cost]]</f>
        <v>3504</v>
      </c>
      <c r="I1038" s="3">
        <f>Sales[[#This Row],[Turnover]]*1000/Sales[[#This Row],[Quantity]]</f>
        <v>7993.20652173913</v>
      </c>
      <c r="J1038" s="5">
        <f>Sales[[#This Row],[Quantity]]/SUM(Sales[Quantity])</f>
        <v>1.3360174698806115E-3</v>
      </c>
    </row>
    <row r="1039" spans="1:10" x14ac:dyDescent="0.25">
      <c r="A1039" t="s">
        <v>29</v>
      </c>
      <c r="B1039" t="s">
        <v>0</v>
      </c>
      <c r="C1039" t="s">
        <v>17</v>
      </c>
      <c r="D1039">
        <v>2020</v>
      </c>
      <c r="E1039">
        <v>747</v>
      </c>
      <c r="F1039">
        <v>6007</v>
      </c>
      <c r="G1039">
        <v>2413</v>
      </c>
      <c r="H1039">
        <f>Sales[[#This Row],[Turnover]]-Sales[[#This Row],[Cost]]</f>
        <v>3594</v>
      </c>
      <c r="I1039" s="3">
        <f>Sales[[#This Row],[Turnover]]*1000/Sales[[#This Row],[Quantity]]</f>
        <v>8041.4993306559572</v>
      </c>
      <c r="J1039" s="5">
        <f>Sales[[#This Row],[Quantity]]/SUM(Sales[Quantity])</f>
        <v>1.3559851222837186E-3</v>
      </c>
    </row>
    <row r="1040" spans="1:10" x14ac:dyDescent="0.25">
      <c r="A1040" t="s">
        <v>29</v>
      </c>
      <c r="B1040" t="s">
        <v>0</v>
      </c>
      <c r="C1040" t="s">
        <v>15</v>
      </c>
      <c r="D1040">
        <v>2020</v>
      </c>
      <c r="E1040">
        <v>873</v>
      </c>
      <c r="F1040">
        <v>7015</v>
      </c>
      <c r="G1040">
        <v>2820</v>
      </c>
      <c r="H1040">
        <f>Sales[[#This Row],[Turnover]]-Sales[[#This Row],[Cost]]</f>
        <v>4195</v>
      </c>
      <c r="I1040" s="3">
        <f>Sales[[#This Row],[Turnover]]*1000/Sales[[#This Row],[Quantity]]</f>
        <v>8035.5097365406646</v>
      </c>
      <c r="J1040" s="5">
        <f>Sales[[#This Row],[Quantity]]/SUM(Sales[Quantity])</f>
        <v>1.584705504355671E-3</v>
      </c>
    </row>
    <row r="1041" spans="1:10" x14ac:dyDescent="0.25">
      <c r="A1041" t="s">
        <v>29</v>
      </c>
      <c r="B1041" t="s">
        <v>0</v>
      </c>
      <c r="C1041" t="s">
        <v>14</v>
      </c>
      <c r="D1041">
        <v>2020</v>
      </c>
      <c r="E1041">
        <v>756</v>
      </c>
      <c r="F1041">
        <v>6019</v>
      </c>
      <c r="G1041">
        <v>2443</v>
      </c>
      <c r="H1041">
        <f>Sales[[#This Row],[Turnover]]-Sales[[#This Row],[Cost]]</f>
        <v>3576</v>
      </c>
      <c r="I1041" s="3">
        <f>Sales[[#This Row],[Turnover]]*1000/Sales[[#This Row],[Quantity]]</f>
        <v>7961.6402116402114</v>
      </c>
      <c r="J1041" s="5">
        <f>Sales[[#This Row],[Quantity]]/SUM(Sales[Quantity])</f>
        <v>1.3723222924317152E-3</v>
      </c>
    </row>
    <row r="1042" spans="1:10" x14ac:dyDescent="0.25">
      <c r="A1042" t="s">
        <v>29</v>
      </c>
      <c r="B1042" t="s">
        <v>0</v>
      </c>
      <c r="C1042" t="s">
        <v>2</v>
      </c>
      <c r="D1042">
        <v>2020</v>
      </c>
      <c r="E1042">
        <v>934</v>
      </c>
      <c r="F1042">
        <v>7483</v>
      </c>
      <c r="G1042">
        <v>3017</v>
      </c>
      <c r="H1042">
        <f>Sales[[#This Row],[Turnover]]-Sales[[#This Row],[Cost]]</f>
        <v>4466</v>
      </c>
      <c r="I1042" s="3">
        <f>Sales[[#This Row],[Turnover]]*1000/Sales[[#This Row],[Quantity]]</f>
        <v>8011.7773019271945</v>
      </c>
      <c r="J1042" s="5">
        <f>Sales[[#This Row],[Quantity]]/SUM(Sales[Quantity])</f>
        <v>1.695435213136537E-3</v>
      </c>
    </row>
    <row r="1043" spans="1:10" x14ac:dyDescent="0.25">
      <c r="A1043" t="s">
        <v>29</v>
      </c>
      <c r="B1043" t="s">
        <v>0</v>
      </c>
      <c r="C1043" t="s">
        <v>3</v>
      </c>
      <c r="D1043">
        <v>2020</v>
      </c>
      <c r="E1043">
        <v>742</v>
      </c>
      <c r="F1043">
        <v>5883</v>
      </c>
      <c r="G1043">
        <v>2398</v>
      </c>
      <c r="H1043">
        <f>Sales[[#This Row],[Turnover]]-Sales[[#This Row],[Cost]]</f>
        <v>3485</v>
      </c>
      <c r="I1043" s="3">
        <f>Sales[[#This Row],[Turnover]]*1000/Sales[[#This Row],[Quantity]]</f>
        <v>7928.5714285714284</v>
      </c>
      <c r="J1043" s="5">
        <f>Sales[[#This Row],[Quantity]]/SUM(Sales[Quantity])</f>
        <v>1.3469089166459427E-3</v>
      </c>
    </row>
    <row r="1044" spans="1:10" x14ac:dyDescent="0.25">
      <c r="A1044" t="s">
        <v>29</v>
      </c>
      <c r="B1044" t="s">
        <v>0</v>
      </c>
      <c r="C1044" t="s">
        <v>18</v>
      </c>
      <c r="D1044">
        <v>2020</v>
      </c>
      <c r="E1044">
        <v>816</v>
      </c>
      <c r="F1044">
        <v>6537</v>
      </c>
      <c r="G1044">
        <v>2635</v>
      </c>
      <c r="H1044">
        <f>Sales[[#This Row],[Turnover]]-Sales[[#This Row],[Cost]]</f>
        <v>3902</v>
      </c>
      <c r="I1044" s="3">
        <f>Sales[[#This Row],[Turnover]]*1000/Sales[[#This Row],[Quantity]]</f>
        <v>8011.0294117647063</v>
      </c>
      <c r="J1044" s="5">
        <f>Sales[[#This Row],[Quantity]]/SUM(Sales[Quantity])</f>
        <v>1.4812367600850259E-3</v>
      </c>
    </row>
    <row r="1045" spans="1:10" x14ac:dyDescent="0.25">
      <c r="A1045" t="s">
        <v>29</v>
      </c>
      <c r="B1045" t="s">
        <v>0</v>
      </c>
      <c r="C1045" t="s">
        <v>4</v>
      </c>
      <c r="D1045">
        <v>2020</v>
      </c>
      <c r="E1045">
        <v>723</v>
      </c>
      <c r="F1045">
        <v>5813</v>
      </c>
      <c r="G1045">
        <v>2336</v>
      </c>
      <c r="H1045">
        <f>Sales[[#This Row],[Turnover]]-Sales[[#This Row],[Cost]]</f>
        <v>3477</v>
      </c>
      <c r="I1045" s="3">
        <f>Sales[[#This Row],[Turnover]]*1000/Sales[[#This Row],[Quantity]]</f>
        <v>8040.1106500691567</v>
      </c>
      <c r="J1045" s="5">
        <f>Sales[[#This Row],[Quantity]]/SUM(Sales[Quantity])</f>
        <v>1.3124193352223943E-3</v>
      </c>
    </row>
    <row r="1046" spans="1:10" x14ac:dyDescent="0.25">
      <c r="A1046" t="s">
        <v>29</v>
      </c>
      <c r="B1046" t="s">
        <v>0</v>
      </c>
      <c r="C1046" t="s">
        <v>19</v>
      </c>
      <c r="D1046">
        <v>2020</v>
      </c>
      <c r="E1046">
        <v>919</v>
      </c>
      <c r="F1046">
        <v>7369</v>
      </c>
      <c r="G1046">
        <v>2969</v>
      </c>
      <c r="H1046">
        <f>Sales[[#This Row],[Turnover]]-Sales[[#This Row],[Cost]]</f>
        <v>4400</v>
      </c>
      <c r="I1046" s="3">
        <f>Sales[[#This Row],[Turnover]]*1000/Sales[[#This Row],[Quantity]]</f>
        <v>8018.4983677910768</v>
      </c>
      <c r="J1046" s="5">
        <f>Sales[[#This Row],[Quantity]]/SUM(Sales[Quantity])</f>
        <v>1.6682065962232092E-3</v>
      </c>
    </row>
    <row r="1047" spans="1:10" x14ac:dyDescent="0.25">
      <c r="A1047" t="s">
        <v>30</v>
      </c>
      <c r="B1047" t="s">
        <v>0</v>
      </c>
      <c r="C1047" t="s">
        <v>13</v>
      </c>
      <c r="D1047">
        <v>2020</v>
      </c>
      <c r="E1047">
        <v>742</v>
      </c>
      <c r="F1047">
        <v>2229</v>
      </c>
      <c r="G1047">
        <v>1144</v>
      </c>
      <c r="H1047">
        <f>Sales[[#This Row],[Turnover]]-Sales[[#This Row],[Cost]]</f>
        <v>1085</v>
      </c>
      <c r="I1047" s="3">
        <f>Sales[[#This Row],[Turnover]]*1000/Sales[[#This Row],[Quantity]]</f>
        <v>3004.0431266846363</v>
      </c>
      <c r="J1047" s="5">
        <f>Sales[[#This Row],[Quantity]]/SUM(Sales[Quantity])</f>
        <v>1.3469089166459427E-3</v>
      </c>
    </row>
    <row r="1048" spans="1:10" x14ac:dyDescent="0.25">
      <c r="A1048" t="s">
        <v>30</v>
      </c>
      <c r="B1048" t="s">
        <v>0</v>
      </c>
      <c r="C1048" t="s">
        <v>16</v>
      </c>
      <c r="D1048">
        <v>2020</v>
      </c>
      <c r="E1048">
        <v>906</v>
      </c>
      <c r="F1048">
        <v>2712</v>
      </c>
      <c r="G1048">
        <v>1398</v>
      </c>
      <c r="H1048">
        <f>Sales[[#This Row],[Turnover]]-Sales[[#This Row],[Cost]]</f>
        <v>1314</v>
      </c>
      <c r="I1048" s="3">
        <f>Sales[[#This Row],[Turnover]]*1000/Sales[[#This Row],[Quantity]]</f>
        <v>2993.3774834437086</v>
      </c>
      <c r="J1048" s="5">
        <f>Sales[[#This Row],[Quantity]]/SUM(Sales[Quantity])</f>
        <v>1.6446084615649921E-3</v>
      </c>
    </row>
    <row r="1049" spans="1:10" x14ac:dyDescent="0.25">
      <c r="A1049" t="s">
        <v>30</v>
      </c>
      <c r="B1049" t="s">
        <v>0</v>
      </c>
      <c r="C1049" t="s">
        <v>1</v>
      </c>
      <c r="D1049">
        <v>2020</v>
      </c>
      <c r="E1049">
        <v>1042</v>
      </c>
      <c r="F1049">
        <v>3097</v>
      </c>
      <c r="G1049">
        <v>1607</v>
      </c>
      <c r="H1049">
        <f>Sales[[#This Row],[Turnover]]-Sales[[#This Row],[Cost]]</f>
        <v>1490</v>
      </c>
      <c r="I1049" s="3">
        <f>Sales[[#This Row],[Turnover]]*1000/Sales[[#This Row],[Quantity]]</f>
        <v>2972.1689059500959</v>
      </c>
      <c r="J1049" s="5">
        <f>Sales[[#This Row],[Quantity]]/SUM(Sales[Quantity])</f>
        <v>1.8914812549124963E-3</v>
      </c>
    </row>
    <row r="1050" spans="1:10" x14ac:dyDescent="0.25">
      <c r="A1050" t="s">
        <v>30</v>
      </c>
      <c r="B1050" t="s">
        <v>0</v>
      </c>
      <c r="C1050" t="s">
        <v>17</v>
      </c>
      <c r="D1050">
        <v>2020</v>
      </c>
      <c r="E1050">
        <v>817</v>
      </c>
      <c r="F1050">
        <v>2434</v>
      </c>
      <c r="G1050">
        <v>1260</v>
      </c>
      <c r="H1050">
        <f>Sales[[#This Row],[Turnover]]-Sales[[#This Row],[Cost]]</f>
        <v>1174</v>
      </c>
      <c r="I1050" s="3">
        <f>Sales[[#This Row],[Turnover]]*1000/Sales[[#This Row],[Quantity]]</f>
        <v>2979.1921664626684</v>
      </c>
      <c r="J1050" s="5">
        <f>Sales[[#This Row],[Quantity]]/SUM(Sales[Quantity])</f>
        <v>1.4830520012125811E-3</v>
      </c>
    </row>
    <row r="1051" spans="1:10" x14ac:dyDescent="0.25">
      <c r="A1051" t="s">
        <v>30</v>
      </c>
      <c r="B1051" t="s">
        <v>0</v>
      </c>
      <c r="C1051" t="s">
        <v>15</v>
      </c>
      <c r="D1051">
        <v>2020</v>
      </c>
      <c r="E1051">
        <v>777</v>
      </c>
      <c r="F1051">
        <v>2309</v>
      </c>
      <c r="G1051">
        <v>1198</v>
      </c>
      <c r="H1051">
        <f>Sales[[#This Row],[Turnover]]-Sales[[#This Row],[Cost]]</f>
        <v>1111</v>
      </c>
      <c r="I1051" s="3">
        <f>Sales[[#This Row],[Turnover]]*1000/Sales[[#This Row],[Quantity]]</f>
        <v>2971.6859716859717</v>
      </c>
      <c r="J1051" s="5">
        <f>Sales[[#This Row],[Quantity]]/SUM(Sales[Quantity])</f>
        <v>1.4104423561103739E-3</v>
      </c>
    </row>
    <row r="1052" spans="1:10" x14ac:dyDescent="0.25">
      <c r="A1052" t="s">
        <v>30</v>
      </c>
      <c r="B1052" t="s">
        <v>0</v>
      </c>
      <c r="C1052" t="s">
        <v>14</v>
      </c>
      <c r="D1052">
        <v>2020</v>
      </c>
      <c r="E1052">
        <v>1243</v>
      </c>
      <c r="F1052">
        <v>3430</v>
      </c>
      <c r="G1052">
        <v>1917</v>
      </c>
      <c r="H1052">
        <f>Sales[[#This Row],[Turnover]]-Sales[[#This Row],[Cost]]</f>
        <v>1513</v>
      </c>
      <c r="I1052" s="3">
        <f>Sales[[#This Row],[Turnover]]*1000/Sales[[#This Row],[Quantity]]</f>
        <v>2759.4529364440868</v>
      </c>
      <c r="J1052" s="5">
        <f>Sales[[#This Row],[Quantity]]/SUM(Sales[Quantity])</f>
        <v>2.2563447215510871E-3</v>
      </c>
    </row>
    <row r="1053" spans="1:10" x14ac:dyDescent="0.25">
      <c r="A1053" t="s">
        <v>30</v>
      </c>
      <c r="B1053" t="s">
        <v>0</v>
      </c>
      <c r="C1053" t="s">
        <v>2</v>
      </c>
      <c r="D1053">
        <v>2020</v>
      </c>
      <c r="E1053">
        <v>1111</v>
      </c>
      <c r="F1053">
        <v>3051</v>
      </c>
      <c r="G1053">
        <v>1713</v>
      </c>
      <c r="H1053">
        <f>Sales[[#This Row],[Turnover]]-Sales[[#This Row],[Cost]]</f>
        <v>1338</v>
      </c>
      <c r="I1053" s="3">
        <f>Sales[[#This Row],[Turnover]]*1000/Sales[[#This Row],[Quantity]]</f>
        <v>2746.174617461746</v>
      </c>
      <c r="J1053" s="5">
        <f>Sales[[#This Row],[Quantity]]/SUM(Sales[Quantity])</f>
        <v>2.0167328927138037E-3</v>
      </c>
    </row>
    <row r="1054" spans="1:10" x14ac:dyDescent="0.25">
      <c r="A1054" t="s">
        <v>30</v>
      </c>
      <c r="B1054" t="s">
        <v>0</v>
      </c>
      <c r="C1054" t="s">
        <v>3</v>
      </c>
      <c r="D1054">
        <v>2020</v>
      </c>
      <c r="E1054">
        <v>1210</v>
      </c>
      <c r="F1054">
        <v>3309</v>
      </c>
      <c r="G1054">
        <v>1865</v>
      </c>
      <c r="H1054">
        <f>Sales[[#This Row],[Turnover]]-Sales[[#This Row],[Cost]]</f>
        <v>1444</v>
      </c>
      <c r="I1054" s="3">
        <f>Sales[[#This Row],[Turnover]]*1000/Sales[[#This Row],[Quantity]]</f>
        <v>2734.7107438016528</v>
      </c>
      <c r="J1054" s="5">
        <f>Sales[[#This Row],[Quantity]]/SUM(Sales[Quantity])</f>
        <v>2.1964417643417665E-3</v>
      </c>
    </row>
    <row r="1055" spans="1:10" x14ac:dyDescent="0.25">
      <c r="A1055" t="s">
        <v>30</v>
      </c>
      <c r="B1055" t="s">
        <v>0</v>
      </c>
      <c r="C1055" t="s">
        <v>18</v>
      </c>
      <c r="D1055">
        <v>2020</v>
      </c>
      <c r="E1055">
        <v>1115</v>
      </c>
      <c r="F1055">
        <v>3060</v>
      </c>
      <c r="G1055">
        <v>1720</v>
      </c>
      <c r="H1055">
        <f>Sales[[#This Row],[Turnover]]-Sales[[#This Row],[Cost]]</f>
        <v>1340</v>
      </c>
      <c r="I1055" s="3">
        <f>Sales[[#This Row],[Turnover]]*1000/Sales[[#This Row],[Quantity]]</f>
        <v>2744.3946188340806</v>
      </c>
      <c r="J1055" s="5">
        <f>Sales[[#This Row],[Quantity]]/SUM(Sales[Quantity])</f>
        <v>2.0239938572240244E-3</v>
      </c>
    </row>
    <row r="1056" spans="1:10" x14ac:dyDescent="0.25">
      <c r="A1056" t="s">
        <v>30</v>
      </c>
      <c r="B1056" t="s">
        <v>0</v>
      </c>
      <c r="C1056" t="s">
        <v>4</v>
      </c>
      <c r="D1056">
        <v>2020</v>
      </c>
      <c r="E1056">
        <v>1035</v>
      </c>
      <c r="F1056">
        <v>2856</v>
      </c>
      <c r="G1056">
        <v>1596</v>
      </c>
      <c r="H1056">
        <f>Sales[[#This Row],[Turnover]]-Sales[[#This Row],[Cost]]</f>
        <v>1260</v>
      </c>
      <c r="I1056" s="3">
        <f>Sales[[#This Row],[Turnover]]*1000/Sales[[#This Row],[Quantity]]</f>
        <v>2759.4202898550725</v>
      </c>
      <c r="J1056" s="5">
        <f>Sales[[#This Row],[Quantity]]/SUM(Sales[Quantity])</f>
        <v>1.87877456701961E-3</v>
      </c>
    </row>
    <row r="1057" spans="1:10" x14ac:dyDescent="0.25">
      <c r="A1057" t="s">
        <v>30</v>
      </c>
      <c r="B1057" t="s">
        <v>0</v>
      </c>
      <c r="C1057" t="s">
        <v>19</v>
      </c>
      <c r="D1057">
        <v>2020</v>
      </c>
      <c r="E1057">
        <v>878</v>
      </c>
      <c r="F1057">
        <v>2413</v>
      </c>
      <c r="G1057">
        <v>1354</v>
      </c>
      <c r="H1057">
        <f>Sales[[#This Row],[Turnover]]-Sales[[#This Row],[Cost]]</f>
        <v>1059</v>
      </c>
      <c r="I1057" s="3">
        <f>Sales[[#This Row],[Turnover]]*1000/Sales[[#This Row],[Quantity]]</f>
        <v>2748.2915717539863</v>
      </c>
      <c r="J1057" s="5">
        <f>Sales[[#This Row],[Quantity]]/SUM(Sales[Quantity])</f>
        <v>1.5937817099934469E-3</v>
      </c>
    </row>
    <row r="1058" spans="1:10" x14ac:dyDescent="0.25">
      <c r="A1058" t="s">
        <v>26</v>
      </c>
      <c r="B1058" t="s">
        <v>0</v>
      </c>
      <c r="C1058" t="s">
        <v>17</v>
      </c>
      <c r="D1058">
        <v>2020</v>
      </c>
      <c r="E1058">
        <v>1491</v>
      </c>
      <c r="F1058">
        <v>4214</v>
      </c>
      <c r="G1058">
        <v>1807</v>
      </c>
      <c r="H1058">
        <f>Sales[[#This Row],[Turnover]]-Sales[[#This Row],[Cost]]</f>
        <v>2407</v>
      </c>
      <c r="I1058" s="3">
        <f>Sales[[#This Row],[Turnover]]*1000/Sales[[#This Row],[Quantity]]</f>
        <v>2826.2910798122066</v>
      </c>
      <c r="J1058" s="5">
        <f>Sales[[#This Row],[Quantity]]/SUM(Sales[Quantity])</f>
        <v>2.7065245211847716E-3</v>
      </c>
    </row>
    <row r="1059" spans="1:10" x14ac:dyDescent="0.25">
      <c r="A1059" t="s">
        <v>26</v>
      </c>
      <c r="B1059" t="s">
        <v>0</v>
      </c>
      <c r="C1059" t="s">
        <v>15</v>
      </c>
      <c r="D1059">
        <v>2020</v>
      </c>
      <c r="E1059">
        <v>1431</v>
      </c>
      <c r="F1059">
        <v>3985</v>
      </c>
      <c r="G1059">
        <v>1735</v>
      </c>
      <c r="H1059">
        <f>Sales[[#This Row],[Turnover]]-Sales[[#This Row],[Cost]]</f>
        <v>2250</v>
      </c>
      <c r="I1059" s="3">
        <f>Sales[[#This Row],[Turnover]]*1000/Sales[[#This Row],[Quantity]]</f>
        <v>2784.7658979734451</v>
      </c>
      <c r="J1059" s="5">
        <f>Sales[[#This Row],[Quantity]]/SUM(Sales[Quantity])</f>
        <v>2.5976100535314607E-3</v>
      </c>
    </row>
    <row r="1060" spans="1:10" x14ac:dyDescent="0.25">
      <c r="A1060" t="s">
        <v>26</v>
      </c>
      <c r="B1060" t="s">
        <v>0</v>
      </c>
      <c r="C1060" t="s">
        <v>14</v>
      </c>
      <c r="D1060">
        <v>2020</v>
      </c>
      <c r="E1060">
        <v>1409</v>
      </c>
      <c r="F1060">
        <v>3983</v>
      </c>
      <c r="G1060">
        <v>1707</v>
      </c>
      <c r="H1060">
        <f>Sales[[#This Row],[Turnover]]-Sales[[#This Row],[Cost]]</f>
        <v>2276</v>
      </c>
      <c r="I1060" s="3">
        <f>Sales[[#This Row],[Turnover]]*1000/Sales[[#This Row],[Quantity]]</f>
        <v>2826.8275372604685</v>
      </c>
      <c r="J1060" s="5">
        <f>Sales[[#This Row],[Quantity]]/SUM(Sales[Quantity])</f>
        <v>2.557674748725247E-3</v>
      </c>
    </row>
    <row r="1061" spans="1:10" x14ac:dyDescent="0.25">
      <c r="A1061" t="s">
        <v>26</v>
      </c>
      <c r="B1061" t="s">
        <v>0</v>
      </c>
      <c r="C1061" t="s">
        <v>2</v>
      </c>
      <c r="D1061">
        <v>2020</v>
      </c>
      <c r="E1061">
        <v>1438</v>
      </c>
      <c r="F1061">
        <v>4023</v>
      </c>
      <c r="G1061">
        <v>1743</v>
      </c>
      <c r="H1061">
        <f>Sales[[#This Row],[Turnover]]-Sales[[#This Row],[Cost]]</f>
        <v>2280</v>
      </c>
      <c r="I1061" s="3">
        <f>Sales[[#This Row],[Turnover]]*1000/Sales[[#This Row],[Quantity]]</f>
        <v>2797.6356050069539</v>
      </c>
      <c r="J1061" s="5">
        <f>Sales[[#This Row],[Quantity]]/SUM(Sales[Quantity])</f>
        <v>2.6103167414243469E-3</v>
      </c>
    </row>
    <row r="1062" spans="1:10" x14ac:dyDescent="0.25">
      <c r="A1062" t="s">
        <v>26</v>
      </c>
      <c r="B1062" t="s">
        <v>0</v>
      </c>
      <c r="C1062" t="s">
        <v>3</v>
      </c>
      <c r="D1062">
        <v>2020</v>
      </c>
      <c r="E1062">
        <v>1351</v>
      </c>
      <c r="F1062">
        <v>3751</v>
      </c>
      <c r="G1062">
        <v>1637</v>
      </c>
      <c r="H1062">
        <f>Sales[[#This Row],[Turnover]]-Sales[[#This Row],[Cost]]</f>
        <v>2114</v>
      </c>
      <c r="I1062" s="3">
        <f>Sales[[#This Row],[Turnover]]*1000/Sales[[#This Row],[Quantity]]</f>
        <v>2776.4618800888229</v>
      </c>
      <c r="J1062" s="5">
        <f>Sales[[#This Row],[Quantity]]/SUM(Sales[Quantity])</f>
        <v>2.4523907633270466E-3</v>
      </c>
    </row>
    <row r="1063" spans="1:10" x14ac:dyDescent="0.25">
      <c r="A1063" t="s">
        <v>26</v>
      </c>
      <c r="B1063" t="s">
        <v>0</v>
      </c>
      <c r="C1063" t="s">
        <v>18</v>
      </c>
      <c r="D1063">
        <v>2020</v>
      </c>
      <c r="E1063">
        <v>1482</v>
      </c>
      <c r="F1063">
        <v>4109</v>
      </c>
      <c r="G1063">
        <v>1796</v>
      </c>
      <c r="H1063">
        <f>Sales[[#This Row],[Turnover]]-Sales[[#This Row],[Cost]]</f>
        <v>2313</v>
      </c>
      <c r="I1063" s="3">
        <f>Sales[[#This Row],[Turnover]]*1000/Sales[[#This Row],[Quantity]]</f>
        <v>2772.6045883940619</v>
      </c>
      <c r="J1063" s="5">
        <f>Sales[[#This Row],[Quantity]]/SUM(Sales[Quantity])</f>
        <v>2.6901873510367749E-3</v>
      </c>
    </row>
    <row r="1064" spans="1:10" x14ac:dyDescent="0.25">
      <c r="A1064" t="s">
        <v>26</v>
      </c>
      <c r="B1064" t="s">
        <v>0</v>
      </c>
      <c r="C1064" t="s">
        <v>4</v>
      </c>
      <c r="D1064">
        <v>2020</v>
      </c>
      <c r="E1064">
        <v>1532</v>
      </c>
      <c r="F1064">
        <v>4301</v>
      </c>
      <c r="G1064">
        <v>1856</v>
      </c>
      <c r="H1064">
        <f>Sales[[#This Row],[Turnover]]-Sales[[#This Row],[Cost]]</f>
        <v>2445</v>
      </c>
      <c r="I1064" s="3">
        <f>Sales[[#This Row],[Turnover]]*1000/Sales[[#This Row],[Quantity]]</f>
        <v>2807.4412532637075</v>
      </c>
      <c r="J1064" s="5">
        <f>Sales[[#This Row],[Quantity]]/SUM(Sales[Quantity])</f>
        <v>2.780949407414534E-3</v>
      </c>
    </row>
    <row r="1065" spans="1:10" x14ac:dyDescent="0.25">
      <c r="A1065" t="s">
        <v>26</v>
      </c>
      <c r="B1065" t="s">
        <v>0</v>
      </c>
      <c r="C1065" t="s">
        <v>19</v>
      </c>
      <c r="D1065">
        <v>2020</v>
      </c>
      <c r="E1065">
        <v>1609</v>
      </c>
      <c r="F1065">
        <v>4547</v>
      </c>
      <c r="G1065">
        <v>1950</v>
      </c>
      <c r="H1065">
        <f>Sales[[#This Row],[Turnover]]-Sales[[#This Row],[Cost]]</f>
        <v>2597</v>
      </c>
      <c r="I1065" s="3">
        <f>Sales[[#This Row],[Turnover]]*1000/Sales[[#This Row],[Quantity]]</f>
        <v>2825.9788688626477</v>
      </c>
      <c r="J1065" s="5">
        <f>Sales[[#This Row],[Quantity]]/SUM(Sales[Quantity])</f>
        <v>2.9207229742362825E-3</v>
      </c>
    </row>
    <row r="1066" spans="1:10" x14ac:dyDescent="0.25">
      <c r="A1066" t="s">
        <v>33</v>
      </c>
      <c r="D1066">
        <f>SUBTOTAL(104,Sales[Year])</f>
        <v>2020</v>
      </c>
      <c r="E1066">
        <f>SUBTOTAL(109,Sales[Quantity])</f>
        <v>550891</v>
      </c>
      <c r="F1066">
        <f>SUBTOTAL(101,Sales[Turnover])</f>
        <v>935.92857142857144</v>
      </c>
      <c r="G1066">
        <f>SUBTOTAL(109,Sales[Cost])</f>
        <v>514644</v>
      </c>
      <c r="H1066">
        <f>SUBTOTAL(109,Sales[Profit])</f>
        <v>481184</v>
      </c>
      <c r="I1066" s="3">
        <f>SUBTOTAL(101,Sales[TOpU])</f>
        <v>2381.8769974355514</v>
      </c>
      <c r="J1066" s="5">
        <f>SUBTOTAL(109,Sales[Qshare])</f>
        <v>0.99999999999999967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Rossbach</dc:creator>
  <cp:lastModifiedBy>Gerit Wagner</cp:lastModifiedBy>
  <dcterms:created xsi:type="dcterms:W3CDTF">2017-03-29T10:05:22Z</dcterms:created>
  <dcterms:modified xsi:type="dcterms:W3CDTF">2026-07-22T10:04:26Z</dcterms:modified>
</cp:coreProperties>
</file>