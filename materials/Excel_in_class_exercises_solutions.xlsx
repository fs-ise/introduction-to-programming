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Z:\temp\"/>
    </mc:Choice>
  </mc:AlternateContent>
  <xr:revisionPtr revIDLastSave="0" documentId="13_ncr:1_{CFA95FE8-35E7-43C4-9AB6-B9F61DE7F43E}" xr6:coauthVersionLast="47" xr6:coauthVersionMax="47" xr10:uidLastSave="{00000000-0000-0000-0000-000000000000}"/>
  <bookViews>
    <workbookView xWindow="-120" yWindow="-120" windowWidth="29040" windowHeight="15885" xr2:uid="{00000000-000D-0000-FFFF-FFFF00000000}"/>
  </bookViews>
  <sheets>
    <sheet name="Future_Value" sheetId="9" r:id="rId1"/>
    <sheet name="Future_Value2" sheetId="11" r:id="rId2"/>
    <sheet name="CoffeeShop" sheetId="26" r:id="rId3"/>
    <sheet name="Sales" sheetId="27" r:id="rId4"/>
    <sheet name="Moving Average" sheetId="7" r:id="rId5"/>
    <sheet name="VIP" sheetId="28" r:id="rId6"/>
    <sheet name="Installment" sheetId="13" r:id="rId7"/>
    <sheet name="Annuity" sheetId="6" r:id="rId8"/>
    <sheet name="Exam" sheetId="20" r:id="rId9"/>
    <sheet name="Department" sheetId="35" r:id="rId10"/>
    <sheet name="Bar_Sales" sheetId="24" r:id="rId11"/>
    <sheet name="Gift" sheetId="29" r:id="rId12"/>
    <sheet name="Grading" sheetId="25" r:id="rId13"/>
    <sheet name="Clients" sheetId="34" r:id="rId14"/>
  </sheets>
  <definedNames>
    <definedName name="solver_corr" hidden="1">1</definedName>
    <definedName name="solver_ctp1" hidden="1">0</definedName>
    <definedName name="solver_ctp2" hidden="1">0</definedName>
    <definedName name="solver_disp" hidden="1">0</definedName>
    <definedName name="solver_eval" hidden="1">0</definedName>
    <definedName name="solver_lcens" hidden="1">-1E+30</definedName>
    <definedName name="solver_lcut" hidden="1">-1E+30</definedName>
    <definedName name="solver_nsim" hidden="1">1</definedName>
    <definedName name="solver_nssim" hidden="1">-1</definedName>
    <definedName name="solver_ntri" hidden="1">1000</definedName>
    <definedName name="solver_rsmp" hidden="1">2</definedName>
    <definedName name="solver_seed" hidden="1">0</definedName>
    <definedName name="solver_sthr" hidden="1">0</definedName>
    <definedName name="solver_ucens" hidden="1">1E+30</definedName>
    <definedName name="solver_ucut" hidden="1">1E+30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5" l="1"/>
  <c r="F14" i="25"/>
  <c r="F15" i="25"/>
  <c r="F16" i="25"/>
  <c r="F18" i="25"/>
  <c r="F7" i="35"/>
  <c r="F6" i="35"/>
  <c r="F5" i="35"/>
  <c r="F4" i="35"/>
  <c r="F3" i="35"/>
  <c r="F2" i="35"/>
  <c r="H4" i="29"/>
  <c r="H5" i="29"/>
  <c r="H6" i="29"/>
  <c r="H7" i="29"/>
  <c r="H8" i="29"/>
  <c r="H9" i="29"/>
  <c r="H10" i="29"/>
  <c r="H11" i="29"/>
  <c r="H12" i="29"/>
  <c r="H13" i="29"/>
  <c r="H14" i="29"/>
  <c r="H15" i="29"/>
  <c r="H16" i="29"/>
  <c r="H17" i="29"/>
  <c r="H3" i="29"/>
  <c r="G17" i="29"/>
  <c r="G16" i="29"/>
  <c r="G15" i="29"/>
  <c r="G14" i="29"/>
  <c r="G13" i="29"/>
  <c r="G12" i="29"/>
  <c r="G11" i="29"/>
  <c r="G10" i="29"/>
  <c r="G9" i="29"/>
  <c r="G8" i="29"/>
  <c r="G7" i="29"/>
  <c r="G6" i="29"/>
  <c r="G5" i="29"/>
  <c r="G4" i="29"/>
  <c r="G3" i="29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39" i="28"/>
  <c r="F21" i="28"/>
  <c r="H5" i="27"/>
  <c r="H4" i="27"/>
  <c r="H3" i="27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F4" i="28"/>
  <c r="F3" i="28"/>
  <c r="H2" i="27"/>
  <c r="B6" i="6"/>
  <c r="D9" i="6"/>
  <c r="C9" i="6"/>
  <c r="E9" i="6"/>
  <c r="D10" i="6"/>
  <c r="C10" i="6"/>
  <c r="E10" i="6"/>
  <c r="D11" i="6"/>
  <c r="C11" i="6"/>
  <c r="E28" i="24"/>
  <c r="F28" i="24"/>
  <c r="E27" i="24"/>
  <c r="F27" i="24"/>
  <c r="E26" i="24"/>
  <c r="F26" i="24"/>
  <c r="E25" i="24"/>
  <c r="F25" i="24"/>
  <c r="E24" i="24"/>
  <c r="F24" i="24"/>
  <c r="E23" i="24"/>
  <c r="F23" i="24"/>
  <c r="E22" i="24"/>
  <c r="F22" i="24"/>
  <c r="E21" i="24"/>
  <c r="F21" i="24"/>
  <c r="E20" i="24"/>
  <c r="F20" i="24"/>
  <c r="E19" i="24"/>
  <c r="F19" i="24"/>
  <c r="E18" i="24"/>
  <c r="F18" i="24"/>
  <c r="E17" i="24"/>
  <c r="F17" i="24"/>
  <c r="E16" i="24"/>
  <c r="F16" i="24"/>
  <c r="E15" i="24"/>
  <c r="F15" i="24"/>
  <c r="E14" i="24"/>
  <c r="F14" i="24"/>
  <c r="E13" i="24"/>
  <c r="F13" i="24"/>
  <c r="E12" i="24"/>
  <c r="F12" i="24"/>
  <c r="E11" i="24"/>
  <c r="F11" i="24"/>
  <c r="D3" i="20"/>
  <c r="D4" i="20"/>
  <c r="D5" i="20"/>
  <c r="D2" i="20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D8" i="13"/>
  <c r="C8" i="13"/>
  <c r="F8" i="13"/>
  <c r="B8" i="13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C22" i="7"/>
  <c r="C21" i="7"/>
  <c r="C20" i="7"/>
  <c r="C19" i="7"/>
  <c r="C18" i="7"/>
  <c r="C17" i="7"/>
  <c r="C16" i="7"/>
  <c r="C15" i="7"/>
  <c r="C14" i="7"/>
  <c r="C13" i="7"/>
  <c r="G6" i="11"/>
  <c r="F6" i="11"/>
  <c r="E6" i="11"/>
  <c r="D6" i="11"/>
  <c r="C6" i="11"/>
  <c r="B6" i="11"/>
  <c r="E8" i="13"/>
  <c r="D9" i="13"/>
  <c r="C9" i="13"/>
  <c r="F9" i="13"/>
  <c r="E9" i="13"/>
  <c r="D10" i="13"/>
  <c r="C10" i="13"/>
  <c r="F10" i="13"/>
  <c r="E10" i="13"/>
  <c r="D11" i="13"/>
  <c r="C11" i="13"/>
  <c r="F11" i="13"/>
  <c r="E11" i="13"/>
  <c r="D12" i="13"/>
  <c r="C12" i="13"/>
  <c r="F12" i="13"/>
  <c r="E12" i="13"/>
  <c r="D13" i="13"/>
  <c r="C13" i="13"/>
  <c r="F13" i="13"/>
  <c r="E13" i="13"/>
  <c r="D14" i="13"/>
  <c r="C14" i="13"/>
  <c r="F14" i="13"/>
  <c r="E14" i="13"/>
  <c r="D15" i="13"/>
  <c r="C15" i="13"/>
  <c r="F15" i="13"/>
  <c r="E15" i="13"/>
  <c r="D16" i="13"/>
  <c r="C16" i="13"/>
  <c r="F16" i="13"/>
  <c r="E16" i="13"/>
  <c r="D17" i="13"/>
  <c r="C17" i="13"/>
  <c r="F17" i="13"/>
  <c r="E17" i="13"/>
  <c r="D18" i="13"/>
  <c r="C18" i="13"/>
  <c r="F18" i="13"/>
  <c r="E18" i="13"/>
  <c r="D19" i="13"/>
  <c r="C19" i="13"/>
  <c r="F19" i="13"/>
  <c r="E19" i="13"/>
  <c r="D20" i="13"/>
  <c r="C20" i="13"/>
  <c r="F20" i="13"/>
  <c r="E20" i="13"/>
  <c r="D21" i="13"/>
  <c r="C21" i="13"/>
  <c r="F21" i="13"/>
  <c r="E21" i="13"/>
  <c r="D22" i="13"/>
  <c r="C22" i="13"/>
  <c r="F22" i="13"/>
  <c r="E22" i="13"/>
  <c r="D23" i="13"/>
  <c r="C23" i="13"/>
  <c r="F23" i="13"/>
  <c r="E23" i="13"/>
  <c r="D24" i="13"/>
  <c r="C24" i="13"/>
  <c r="F24" i="13"/>
  <c r="E24" i="13"/>
  <c r="D25" i="13"/>
  <c r="C25" i="13"/>
  <c r="F25" i="13"/>
  <c r="E25" i="13"/>
  <c r="D26" i="13"/>
  <c r="C26" i="13"/>
  <c r="F26" i="13"/>
  <c r="E26" i="13"/>
  <c r="D27" i="13"/>
  <c r="C27" i="13"/>
  <c r="F27" i="13"/>
  <c r="E27" i="13"/>
  <c r="F9" i="6"/>
  <c r="F10" i="6"/>
  <c r="B6" i="9"/>
  <c r="F11" i="6"/>
  <c r="E11" i="6"/>
  <c r="D12" i="6"/>
  <c r="C12" i="6"/>
  <c r="F12" i="6"/>
  <c r="E12" i="6"/>
  <c r="D13" i="6"/>
  <c r="C13" i="6"/>
  <c r="F13" i="6"/>
  <c r="E13" i="6"/>
  <c r="D14" i="6"/>
  <c r="C14" i="6"/>
  <c r="F14" i="6"/>
  <c r="E14" i="6"/>
  <c r="D15" i="6"/>
  <c r="C15" i="6"/>
  <c r="F15" i="6"/>
  <c r="E15" i="6"/>
  <c r="D16" i="6"/>
  <c r="C16" i="6"/>
  <c r="F16" i="6"/>
  <c r="E16" i="6"/>
  <c r="D17" i="6"/>
  <c r="C17" i="6"/>
  <c r="F17" i="6"/>
  <c r="E17" i="6"/>
  <c r="D18" i="6"/>
  <c r="C18" i="6"/>
  <c r="F18" i="6"/>
  <c r="E18" i="6"/>
  <c r="C19" i="6"/>
  <c r="D19" i="6"/>
  <c r="E19" i="6"/>
  <c r="C20" i="6"/>
  <c r="D20" i="6"/>
  <c r="E20" i="6"/>
  <c r="F19" i="6"/>
  <c r="C21" i="6"/>
  <c r="D21" i="6"/>
  <c r="E21" i="6"/>
  <c r="F20" i="6"/>
  <c r="C22" i="6"/>
  <c r="D22" i="6"/>
  <c r="E22" i="6"/>
  <c r="F21" i="6"/>
  <c r="C23" i="6"/>
  <c r="D23" i="6"/>
  <c r="E23" i="6"/>
  <c r="F22" i="6"/>
  <c r="C24" i="6"/>
  <c r="D24" i="6"/>
  <c r="E24" i="6"/>
  <c r="F23" i="6"/>
  <c r="C25" i="6"/>
  <c r="D25" i="6"/>
  <c r="E25" i="6"/>
  <c r="F24" i="6"/>
  <c r="C26" i="6"/>
  <c r="D26" i="6"/>
  <c r="E26" i="6"/>
  <c r="F25" i="6"/>
  <c r="C27" i="6"/>
  <c r="D27" i="6"/>
  <c r="E27" i="6"/>
  <c r="F26" i="6"/>
  <c r="C28" i="6"/>
  <c r="D28" i="6"/>
  <c r="E28" i="6"/>
  <c r="F27" i="6"/>
  <c r="F28" i="6"/>
  <c r="C10" i="34"/>
  <c r="C8" i="34"/>
  <c r="C11" i="34"/>
  <c r="C9" i="34"/>
</calcChain>
</file>

<file path=xl/sharedStrings.xml><?xml version="1.0" encoding="utf-8"?>
<sst xmlns="http://schemas.openxmlformats.org/spreadsheetml/2006/main" count="368" uniqueCount="166">
  <si>
    <t>DAX</t>
  </si>
  <si>
    <t>Future Value:</t>
  </si>
  <si>
    <t>Investment</t>
  </si>
  <si>
    <t>Interest rate</t>
  </si>
  <si>
    <t>Investment period</t>
  </si>
  <si>
    <t>Future Value</t>
  </si>
  <si>
    <t>Period</t>
  </si>
  <si>
    <t>Sum</t>
  </si>
  <si>
    <t>Annuity</t>
  </si>
  <si>
    <t>Moving average</t>
  </si>
  <si>
    <t>Date</t>
  </si>
  <si>
    <t>MA 10 days</t>
  </si>
  <si>
    <t>MA 20 days</t>
  </si>
  <si>
    <t>Redemption</t>
  </si>
  <si>
    <t>Remainder</t>
  </si>
  <si>
    <t>Interest</t>
  </si>
  <si>
    <t>Student ID</t>
  </si>
  <si>
    <t>Points (Total)</t>
  </si>
  <si>
    <t>Points Exercise 5</t>
  </si>
  <si>
    <t>Result</t>
  </si>
  <si>
    <t>Test 1</t>
  </si>
  <si>
    <t>HW 1</t>
  </si>
  <si>
    <t>Test 2</t>
  </si>
  <si>
    <t>HW 2</t>
  </si>
  <si>
    <t>Test 3</t>
  </si>
  <si>
    <t>HW 3</t>
  </si>
  <si>
    <t>Test 1 Score</t>
  </si>
  <si>
    <t>Test 2 Score</t>
  </si>
  <si>
    <t>Test 3 Score</t>
  </si>
  <si>
    <t>Average Homework Score</t>
  </si>
  <si>
    <t>Final Course Grade</t>
  </si>
  <si>
    <t>Price List</t>
  </si>
  <si>
    <t>beverage</t>
  </si>
  <si>
    <t>price per 0,2l</t>
  </si>
  <si>
    <t>tea</t>
  </si>
  <si>
    <t>coffee</t>
  </si>
  <si>
    <t>coke</t>
  </si>
  <si>
    <t>water</t>
  </si>
  <si>
    <t>milk</t>
  </si>
  <si>
    <t>Sales</t>
  </si>
  <si>
    <t>sold</t>
  </si>
  <si>
    <t>quantity</t>
  </si>
  <si>
    <t xml:space="preserve"> unit price</t>
  </si>
  <si>
    <t>total price</t>
  </si>
  <si>
    <t>CoffeeType</t>
  </si>
  <si>
    <t>Percentage</t>
  </si>
  <si>
    <t>Percentage Men</t>
  </si>
  <si>
    <t>Percentage Women</t>
  </si>
  <si>
    <t>Espresso</t>
  </si>
  <si>
    <t>Latte</t>
  </si>
  <si>
    <t>Coffee</t>
  </si>
  <si>
    <t>CustomerID</t>
  </si>
  <si>
    <t>FirstName</t>
  </si>
  <si>
    <t>LastName</t>
  </si>
  <si>
    <t>MinSales:</t>
  </si>
  <si>
    <t>Tobias</t>
  </si>
  <si>
    <t>Engler</t>
  </si>
  <si>
    <t>MaxSales:</t>
  </si>
  <si>
    <t>Heinrich</t>
  </si>
  <si>
    <t>Bell</t>
  </si>
  <si>
    <t>AverageSales:</t>
  </si>
  <si>
    <t>Clinton</t>
  </si>
  <si>
    <t>Beister</t>
  </si>
  <si>
    <t>MedianSales:</t>
  </si>
  <si>
    <t>Vesa</t>
  </si>
  <si>
    <t>Balogun</t>
  </si>
  <si>
    <t xml:space="preserve">Andrij </t>
  </si>
  <si>
    <t>Bungert</t>
  </si>
  <si>
    <t>Volkmar</t>
  </si>
  <si>
    <t>Baumgartlinger</t>
  </si>
  <si>
    <t>Günter</t>
  </si>
  <si>
    <t>Malli</t>
  </si>
  <si>
    <t>Gerold</t>
  </si>
  <si>
    <t>De Blasis</t>
  </si>
  <si>
    <t>Hilda</t>
  </si>
  <si>
    <t>Schmidt</t>
  </si>
  <si>
    <t>Merlinde</t>
  </si>
  <si>
    <t>Muto</t>
  </si>
  <si>
    <t>Charlotte</t>
  </si>
  <si>
    <t>Fridoline</t>
  </si>
  <si>
    <t>Brosinski</t>
  </si>
  <si>
    <t>Charley Ann</t>
  </si>
  <si>
    <t>Moritz</t>
  </si>
  <si>
    <t>Aleka</t>
  </si>
  <si>
    <t>Bengtsson</t>
  </si>
  <si>
    <t>Edeltraud</t>
  </si>
  <si>
    <t>Frei</t>
  </si>
  <si>
    <t>Status</t>
  </si>
  <si>
    <t>Write "Gold" in the status field if sales are higher than 3000,00€.</t>
  </si>
  <si>
    <t>Write "Gold" in the status field if sales are higher then 3000,00€ and</t>
  </si>
  <si>
    <t>"Platinum" if the sales are higher than 5000€ and Bronze for everything else.</t>
  </si>
  <si>
    <t>Bonus</t>
  </si>
  <si>
    <t>Clubcard</t>
  </si>
  <si>
    <t>Calculate the Clubcard Credits. The factors are given below.</t>
  </si>
  <si>
    <t>CreditFactor</t>
  </si>
  <si>
    <t>Credits &lt;5000</t>
  </si>
  <si>
    <t>Credits &gt;= 5000</t>
  </si>
  <si>
    <t>ChristmasGift</t>
  </si>
  <si>
    <t>Packaging</t>
  </si>
  <si>
    <t>Bronze</t>
  </si>
  <si>
    <t>Gold</t>
  </si>
  <si>
    <t>Platinum</t>
  </si>
  <si>
    <t>Pen</t>
  </si>
  <si>
    <t>red</t>
  </si>
  <si>
    <t>Cup</t>
  </si>
  <si>
    <t>golden</t>
  </si>
  <si>
    <t>Voucher</t>
  </si>
  <si>
    <t>fancy</t>
  </si>
  <si>
    <t>Annuity loan</t>
  </si>
  <si>
    <t>Numbers of periods</t>
  </si>
  <si>
    <t>Loant amount</t>
  </si>
  <si>
    <t>Installment Loan</t>
  </si>
  <si>
    <t>Loan amount</t>
  </si>
  <si>
    <t>Name</t>
  </si>
  <si>
    <t>Client #</t>
  </si>
  <si>
    <t>Address</t>
  </si>
  <si>
    <t>City</t>
  </si>
  <si>
    <t>State &amp; ZIP</t>
  </si>
  <si>
    <t>Tiger Auto</t>
  </si>
  <si>
    <t>33 Woods</t>
  </si>
  <si>
    <t>Miami</t>
  </si>
  <si>
    <t>FL 10230</t>
  </si>
  <si>
    <t>Phil Lumber</t>
  </si>
  <si>
    <t>555 Makes</t>
  </si>
  <si>
    <t>Boston</t>
  </si>
  <si>
    <t>MA 34567</t>
  </si>
  <si>
    <t>David Eng.</t>
  </si>
  <si>
    <t>1200 Duvall</t>
  </si>
  <si>
    <t>Charleston</t>
  </si>
  <si>
    <t>SC 10004</t>
  </si>
  <si>
    <t>Stewart Inc.</t>
  </si>
  <si>
    <t>5673 Payne</t>
  </si>
  <si>
    <t>San Francisco</t>
  </si>
  <si>
    <t>CA 27002</t>
  </si>
  <si>
    <t>Client #:</t>
  </si>
  <si>
    <t>Name:</t>
  </si>
  <si>
    <t>Address:</t>
  </si>
  <si>
    <t>City:</t>
  </si>
  <si>
    <t>"=VLOOKUP(F3,$E$20:$F$22,2,0)"</t>
  </si>
  <si>
    <t>"=VLOOKUP(F3,$B$20:$C$22,2,0)"</t>
  </si>
  <si>
    <t>"=XLOOKUP(F3,$E$20:$E$22,$F$20:$F$22)"</t>
  </si>
  <si>
    <t>"=XLOOKUP(F3,$B$20:$B$22,$C$20:$C$22)"</t>
  </si>
  <si>
    <t>"=VLOOKUP($F$13,$A$2:$G$11,2,FALSE)*0.3"</t>
  </si>
  <si>
    <t>"=VLOOKUP($F$13,$A$2:$G$11,4,FALSE)*0.3"</t>
  </si>
  <si>
    <t>"=VLOOKUP($F$13,$A$2:$G$11,6,FALSE)*0.3"</t>
  </si>
  <si>
    <t>Department</t>
  </si>
  <si>
    <t>Salary</t>
  </si>
  <si>
    <t>Hooloway</t>
  </si>
  <si>
    <t>Management</t>
  </si>
  <si>
    <t>Number of people in the Credit Department</t>
  </si>
  <si>
    <t>Clark</t>
  </si>
  <si>
    <t>Sum of salaries in the Credit Department</t>
  </si>
  <si>
    <t>Taylor</t>
  </si>
  <si>
    <t>Credit</t>
  </si>
  <si>
    <t>Average salary in the Credit Department</t>
  </si>
  <si>
    <t>Foster</t>
  </si>
  <si>
    <t>Marketing</t>
  </si>
  <si>
    <t>Number of people with salary&lt;200000</t>
  </si>
  <si>
    <t>Watson</t>
  </si>
  <si>
    <t>Finance</t>
  </si>
  <si>
    <t>Sum of these salaries</t>
  </si>
  <si>
    <t>Dawkins</t>
  </si>
  <si>
    <t>Average of these salaries</t>
  </si>
  <si>
    <t>Parker</t>
  </si>
  <si>
    <t>Johnson</t>
  </si>
  <si>
    <t>"=AVERAGE(VLOOKUP($F$13,$A$2:$G$11,3,FALSE),VLOOKUP($F$13,$A$2:$G$11,5,FALSE),+VLOOKUP($F$13,$A$2:$G$11,7,FALSE))/15*10"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</si>
</sst>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\ &quot;€&quot;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0">
    <xf numFmtId="0" fontId="0" fillId="0" borderId="0"/>
    <xf numFmtId="0" fontId="6" fillId="0" borderId="0"/>
    <xf numFmtId="0" fontId="8" fillId="0" borderId="0"/>
    <xf numFmtId="0" fontId="10" fillId="0" borderId="0"/>
    <xf numFmtId="0" fontId="5" fillId="0" borderId="0"/>
    <xf numFmtId="0" fontId="8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0" fontId="1" fillId="0" borderId="0"/>
  </cellStyleXfs>
  <cellXfs count="67">
    <xf numFmtId="0" fontId="0" fillId="0" borderId="0" xfId="0"/>
    <xf numFmtId="0" fontId="0" fillId="0" borderId="1" xfId="0" applyBorder="1"/>
    <xf numFmtId="10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7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8" fillId="0" borderId="0" xfId="2"/>
    <xf numFmtId="0" fontId="7" fillId="0" borderId="0" xfId="2" applyFont="1"/>
    <xf numFmtId="0" fontId="7" fillId="0" borderId="2" xfId="2" applyFont="1" applyBorder="1" applyAlignment="1">
      <alignment horizontal="center"/>
    </xf>
    <xf numFmtId="0" fontId="8" fillId="0" borderId="2" xfId="2" applyBorder="1" applyAlignment="1">
      <alignment horizontal="center"/>
    </xf>
    <xf numFmtId="0" fontId="8" fillId="0" borderId="0" xfId="2" applyAlignment="1">
      <alignment horizontal="left"/>
    </xf>
    <xf numFmtId="0" fontId="7" fillId="0" borderId="0" xfId="2" applyFont="1" applyAlignment="1">
      <alignment horizontal="right"/>
    </xf>
    <xf numFmtId="10" fontId="8" fillId="0" borderId="0" xfId="2" applyNumberFormat="1" applyAlignment="1">
      <alignment horizontal="center"/>
    </xf>
    <xf numFmtId="0" fontId="7" fillId="0" borderId="0" xfId="2" applyFont="1" applyAlignment="1">
      <alignment wrapText="1"/>
    </xf>
    <xf numFmtId="0" fontId="8" fillId="0" borderId="0" xfId="2" applyAlignment="1">
      <alignment horizontal="center"/>
    </xf>
    <xf numFmtId="0" fontId="8" fillId="2" borderId="2" xfId="2" applyFill="1" applyBorder="1" applyAlignment="1">
      <alignment horizontal="center"/>
    </xf>
    <xf numFmtId="2" fontId="8" fillId="0" borderId="2" xfId="2" applyNumberFormat="1" applyBorder="1" applyAlignment="1">
      <alignment horizontal="center"/>
    </xf>
    <xf numFmtId="2" fontId="8" fillId="3" borderId="2" xfId="2" applyNumberFormat="1" applyFill="1" applyBorder="1" applyAlignment="1">
      <alignment horizontal="center"/>
    </xf>
    <xf numFmtId="0" fontId="11" fillId="0" borderId="3" xfId="3" applyFont="1" applyBorder="1" applyAlignment="1">
      <alignment horizontal="center"/>
    </xf>
    <xf numFmtId="0" fontId="11" fillId="0" borderId="1" xfId="3" applyFont="1" applyBorder="1" applyAlignment="1">
      <alignment horizontal="center"/>
    </xf>
    <xf numFmtId="0" fontId="10" fillId="0" borderId="0" xfId="3"/>
    <xf numFmtId="0" fontId="12" fillId="0" borderId="4" xfId="3" applyFont="1" applyBorder="1"/>
    <xf numFmtId="0" fontId="12" fillId="0" borderId="0" xfId="3" applyFont="1"/>
    <xf numFmtId="0" fontId="13" fillId="4" borderId="5" xfId="3" applyFont="1" applyFill="1" applyBorder="1"/>
    <xf numFmtId="0" fontId="13" fillId="4" borderId="6" xfId="3" applyFont="1" applyFill="1" applyBorder="1"/>
    <xf numFmtId="0" fontId="13" fillId="4" borderId="0" xfId="3" applyFont="1" applyFill="1"/>
    <xf numFmtId="0" fontId="14" fillId="0" borderId="0" xfId="3" applyFont="1"/>
    <xf numFmtId="0" fontId="15" fillId="5" borderId="5" xfId="3" applyFont="1" applyFill="1" applyBorder="1"/>
    <xf numFmtId="0" fontId="15" fillId="5" borderId="6" xfId="3" applyFont="1" applyFill="1" applyBorder="1"/>
    <xf numFmtId="164" fontId="15" fillId="5" borderId="6" xfId="3" applyNumberFormat="1" applyFont="1" applyFill="1" applyBorder="1"/>
    <xf numFmtId="0" fontId="15" fillId="0" borderId="5" xfId="3" applyFont="1" applyBorder="1"/>
    <xf numFmtId="0" fontId="15" fillId="0" borderId="6" xfId="3" applyFont="1" applyBorder="1"/>
    <xf numFmtId="164" fontId="15" fillId="0" borderId="6" xfId="3" applyNumberFormat="1" applyFont="1" applyBorder="1"/>
    <xf numFmtId="0" fontId="16" fillId="0" borderId="0" xfId="3" applyFont="1"/>
    <xf numFmtId="164" fontId="16" fillId="0" borderId="0" xfId="3" applyNumberFormat="1" applyFont="1"/>
    <xf numFmtId="0" fontId="4" fillId="0" borderId="0" xfId="3" applyFont="1"/>
    <xf numFmtId="0" fontId="16" fillId="0" borderId="1" xfId="3" applyFont="1" applyBorder="1"/>
    <xf numFmtId="0" fontId="15" fillId="5" borderId="0" xfId="3" applyFont="1" applyFill="1"/>
    <xf numFmtId="0" fontId="15" fillId="0" borderId="0" xfId="3" applyFont="1"/>
    <xf numFmtId="0" fontId="18" fillId="0" borderId="0" xfId="8" applyFont="1" applyAlignment="1">
      <alignment horizontal="center"/>
    </xf>
    <xf numFmtId="0" fontId="2" fillId="0" borderId="0" xfId="8"/>
    <xf numFmtId="0" fontId="2" fillId="0" borderId="0" xfId="8" applyAlignment="1">
      <alignment horizontal="left"/>
    </xf>
    <xf numFmtId="0" fontId="19" fillId="0" borderId="7" xfId="8" applyFont="1" applyBorder="1" applyAlignment="1">
      <alignment horizontal="center" vertical="center" wrapText="1"/>
    </xf>
    <xf numFmtId="0" fontId="2" fillId="0" borderId="7" xfId="8" applyBorder="1" applyAlignment="1">
      <alignment horizontal="left" vertical="center" wrapText="1"/>
    </xf>
    <xf numFmtId="0" fontId="18" fillId="0" borderId="7" xfId="8" applyFont="1" applyBorder="1" applyAlignment="1">
      <alignment horizontal="center" vertical="center" wrapText="1"/>
    </xf>
    <xf numFmtId="0" fontId="2" fillId="0" borderId="7" xfId="8" applyBorder="1" applyAlignment="1">
      <alignment vertical="center" wrapText="1"/>
    </xf>
    <xf numFmtId="0" fontId="17" fillId="0" borderId="0" xfId="8" applyFont="1" applyAlignment="1">
      <alignment horizontal="center"/>
    </xf>
    <xf numFmtId="0" fontId="7" fillId="0" borderId="0" xfId="0" applyFont="1"/>
    <xf numFmtId="0" fontId="6" fillId="0" borderId="0" xfId="0" applyFont="1"/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2" applyFont="1" applyAlignment="1">
      <alignment horizontal="center"/>
    </xf>
    <xf numFmtId="0" fontId="13" fillId="4" borderId="0" xfId="3" applyFont="1" applyFill="1"/>
    <xf numFmtId="0" fontId="10" fillId="0" borderId="0" xfId="3"/>
  </cellXfs>
  <cellStyles count="10">
    <cellStyle name="Currency 2" xfId="7" xr:uid="{00000000-0005-0000-0000-000000000000}"/>
    <cellStyle name="Normal" xfId="0" builtinId="0"/>
    <cellStyle name="Normal 2" xfId="2" xr:uid="{00000000-0005-0000-0000-000001000000}"/>
    <cellStyle name="Normal 3" xfId="6" xr:uid="{00000000-0005-0000-0000-000002000000}"/>
    <cellStyle name="Normal 4" xfId="8" xr:uid="{00000000-0005-0000-0000-000003000000}"/>
    <cellStyle name="Stand. 2" xfId="4" xr:uid="{00000000-0005-0000-0000-000004000000}"/>
    <cellStyle name="Standard 2" xfId="3" xr:uid="{00000000-0005-0000-0000-000006000000}"/>
    <cellStyle name="Standard 3" xfId="5" xr:uid="{00000000-0005-0000-0000-000007000000}"/>
    <cellStyle name="Standard 4" xfId="9" xr:uid="{00000000-0005-0000-0000-000008000000}"/>
    <cellStyle name="Title" xfId="1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1C1-46BC-86B2-9EF6F955C33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C1-46BC-86B2-9EF6F955C33E}"/>
              </c:ext>
            </c:extLst>
          </c:dPt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50</c:v>
              </c:pt>
              <c:pt idx="1">
                <c:v>30</c:v>
              </c:pt>
              <c:pt idx="2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4-A1C1-46BC-86B2-9EF6F955C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64960"/>
        <c:axId val="230220352"/>
      </c:barChart>
      <c:catAx>
        <c:axId val="2298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20352"/>
        <c:crosses val="autoZero"/>
        <c:auto val="1"/>
        <c:lblAlgn val="ctr"/>
        <c:lblOffset val="100"/>
        <c:noMultiLvlLbl val="0"/>
      </c:catAx>
      <c:valAx>
        <c:axId val="23022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Percentage</a:t>
            </a:r>
            <a:r>
              <a:rPr lang="de-DE" baseline="0"/>
              <a:t> Men/Women</a:t>
            </a:r>
            <a:endParaRPr lang="de-D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 Men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45</c:v>
              </c:pt>
              <c:pt idx="1">
                <c:v>15</c:v>
              </c:pt>
              <c:pt idx="2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15F4-47EB-AD19-660B94AB1291}"/>
            </c:ext>
          </c:extLst>
        </c:ser>
        <c:ser>
          <c:idx val="1"/>
          <c:order val="1"/>
          <c:tx>
            <c:v>Percentage Women</c:v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Espresso</c:v>
              </c:pt>
              <c:pt idx="1">
                <c:v>Latte</c:v>
              </c:pt>
              <c:pt idx="2">
                <c:v>Coffee</c:v>
              </c:pt>
            </c:strLit>
          </c:cat>
          <c:val>
            <c:numLit>
              <c:formatCode>General</c:formatCode>
              <c:ptCount val="3"/>
              <c:pt idx="0">
                <c:v>20</c:v>
              </c:pt>
              <c:pt idx="1">
                <c:v>55</c:v>
              </c:pt>
              <c:pt idx="2">
                <c:v>25</c:v>
              </c:pt>
            </c:numLit>
          </c:val>
          <c:extLst>
            <c:ext xmlns:c16="http://schemas.microsoft.com/office/drawing/2014/chart" uri="{C3380CC4-5D6E-409C-BE32-E72D297353CC}">
              <c16:uniqueId val="{00000001-15F4-47EB-AD19-660B94AB1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65472"/>
        <c:axId val="230222080"/>
      </c:barChart>
      <c:catAx>
        <c:axId val="22986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22080"/>
        <c:crosses val="autoZero"/>
        <c:auto val="1"/>
        <c:lblAlgn val="ctr"/>
        <c:lblOffset val="100"/>
        <c:noMultiLvlLbl val="0"/>
      </c:catAx>
      <c:valAx>
        <c:axId val="23022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86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409471527594353E-2"/>
          <c:y val="6.7532553181505153E-2"/>
          <c:w val="0.88304219641212711"/>
          <c:h val="0.62597481987472081"/>
        </c:manualLayout>
      </c:layout>
      <c:lineChart>
        <c:grouping val="standard"/>
        <c:varyColors val="0"/>
        <c:ser>
          <c:idx val="0"/>
          <c:order val="0"/>
          <c:tx>
            <c:strRef>
              <c:f>'Moving Average'!$B$3</c:f>
              <c:strCache>
                <c:ptCount val="1"/>
                <c:pt idx="0">
                  <c:v>DAX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Average'!$B$4:$B$103</c:f>
              <c:numCache>
                <c:formatCode>0.00</c:formatCode>
                <c:ptCount val="100"/>
                <c:pt idx="0">
                  <c:v>4315.3701000000001</c:v>
                </c:pt>
                <c:pt idx="1">
                  <c:v>4384.8100999999997</c:v>
                </c:pt>
                <c:pt idx="2">
                  <c:v>4352.6298999999999</c:v>
                </c:pt>
                <c:pt idx="3">
                  <c:v>4391.54</c:v>
                </c:pt>
                <c:pt idx="4">
                  <c:v>4347.2299999999996</c:v>
                </c:pt>
                <c:pt idx="5">
                  <c:v>4236.9399000000003</c:v>
                </c:pt>
                <c:pt idx="6">
                  <c:v>4087.28</c:v>
                </c:pt>
                <c:pt idx="7">
                  <c:v>4159.3999000000003</c:v>
                </c:pt>
                <c:pt idx="8">
                  <c:v>4190.0801000000001</c:v>
                </c:pt>
                <c:pt idx="9">
                  <c:v>4148.3397999999997</c:v>
                </c:pt>
                <c:pt idx="10">
                  <c:v>4184.46</c:v>
                </c:pt>
                <c:pt idx="11">
                  <c:v>4284.9399000000003</c:v>
                </c:pt>
                <c:pt idx="12">
                  <c:v>4307.9102000000003</c:v>
                </c:pt>
                <c:pt idx="13">
                  <c:v>4282.8397999999997</c:v>
                </c:pt>
                <c:pt idx="14">
                  <c:v>4220.25</c:v>
                </c:pt>
                <c:pt idx="15">
                  <c:v>4237.3100999999997</c:v>
                </c:pt>
                <c:pt idx="16">
                  <c:v>4224.7798000000003</c:v>
                </c:pt>
                <c:pt idx="17">
                  <c:v>4278.7597999999998</c:v>
                </c:pt>
                <c:pt idx="18">
                  <c:v>4391.0200000000004</c:v>
                </c:pt>
                <c:pt idx="19">
                  <c:v>4419.3798999999999</c:v>
                </c:pt>
                <c:pt idx="20">
                  <c:v>4440.3798999999999</c:v>
                </c:pt>
                <c:pt idx="21">
                  <c:v>4522.8100999999997</c:v>
                </c:pt>
                <c:pt idx="22">
                  <c:v>4532.5200000000004</c:v>
                </c:pt>
                <c:pt idx="23">
                  <c:v>4486.9502000000002</c:v>
                </c:pt>
                <c:pt idx="24">
                  <c:v>4548.46</c:v>
                </c:pt>
                <c:pt idx="25">
                  <c:v>4496.3301000000001</c:v>
                </c:pt>
                <c:pt idx="26">
                  <c:v>4563.5497999999998</c:v>
                </c:pt>
                <c:pt idx="27">
                  <c:v>4523.75</c:v>
                </c:pt>
                <c:pt idx="28">
                  <c:v>4588.4301999999998</c:v>
                </c:pt>
                <c:pt idx="29">
                  <c:v>4536.8301000000001</c:v>
                </c:pt>
                <c:pt idx="30">
                  <c:v>4502.4799999999996</c:v>
                </c:pt>
                <c:pt idx="31">
                  <c:v>4520.6400999999996</c:v>
                </c:pt>
                <c:pt idx="32">
                  <c:v>4602.3999000000003</c:v>
                </c:pt>
                <c:pt idx="33">
                  <c:v>4628.8301000000001</c:v>
                </c:pt>
                <c:pt idx="34">
                  <c:v>4582.3999000000003</c:v>
                </c:pt>
                <c:pt idx="35">
                  <c:v>4602.6499000000003</c:v>
                </c:pt>
                <c:pt idx="36">
                  <c:v>4657.54</c:v>
                </c:pt>
                <c:pt idx="37">
                  <c:v>4599.54</c:v>
                </c:pt>
                <c:pt idx="38">
                  <c:v>4635.8198000000002</c:v>
                </c:pt>
                <c:pt idx="39">
                  <c:v>4692.0298000000003</c:v>
                </c:pt>
                <c:pt idx="40">
                  <c:v>4709.8301000000001</c:v>
                </c:pt>
                <c:pt idx="41">
                  <c:v>4736.7402000000002</c:v>
                </c:pt>
                <c:pt idx="42">
                  <c:v>4757.1400999999996</c:v>
                </c:pt>
                <c:pt idx="43">
                  <c:v>4709.5801000000001</c:v>
                </c:pt>
                <c:pt idx="44">
                  <c:v>4623.3999000000003</c:v>
                </c:pt>
                <c:pt idx="45">
                  <c:v>4715.9502000000002</c:v>
                </c:pt>
                <c:pt idx="46">
                  <c:v>4780.8301000000001</c:v>
                </c:pt>
                <c:pt idx="47">
                  <c:v>4834.4301999999998</c:v>
                </c:pt>
                <c:pt idx="48">
                  <c:v>4832.7597999999998</c:v>
                </c:pt>
                <c:pt idx="49">
                  <c:v>4839.6000999999997</c:v>
                </c:pt>
                <c:pt idx="50">
                  <c:v>4889.6499000000003</c:v>
                </c:pt>
                <c:pt idx="51">
                  <c:v>4883.8500999999997</c:v>
                </c:pt>
                <c:pt idx="52">
                  <c:v>4946.6801999999998</c:v>
                </c:pt>
                <c:pt idx="53">
                  <c:v>4919.7201999999997</c:v>
                </c:pt>
                <c:pt idx="54">
                  <c:v>4936.3198000000002</c:v>
                </c:pt>
                <c:pt idx="55">
                  <c:v>5001.5497999999998</c:v>
                </c:pt>
                <c:pt idx="56">
                  <c:v>4971.3198000000002</c:v>
                </c:pt>
                <c:pt idx="57">
                  <c:v>5028.2402000000002</c:v>
                </c:pt>
                <c:pt idx="58">
                  <c:v>5096.6201000000001</c:v>
                </c:pt>
                <c:pt idx="59">
                  <c:v>5039.7597999999998</c:v>
                </c:pt>
                <c:pt idx="60">
                  <c:v>5083.1602000000003</c:v>
                </c:pt>
                <c:pt idx="61">
                  <c:v>5009.7597999999998</c:v>
                </c:pt>
                <c:pt idx="62">
                  <c:v>5102.3500999999997</c:v>
                </c:pt>
                <c:pt idx="63">
                  <c:v>5154.21</c:v>
                </c:pt>
                <c:pt idx="64">
                  <c:v>5176.6602000000003</c:v>
                </c:pt>
                <c:pt idx="65">
                  <c:v>5223.5200000000004</c:v>
                </c:pt>
                <c:pt idx="66">
                  <c:v>5271.6499000000003</c:v>
                </c:pt>
                <c:pt idx="67">
                  <c:v>5357.0497999999998</c:v>
                </c:pt>
                <c:pt idx="68">
                  <c:v>5269.46</c:v>
                </c:pt>
                <c:pt idx="69">
                  <c:v>5317.2201999999997</c:v>
                </c:pt>
                <c:pt idx="70">
                  <c:v>5317.2201999999997</c:v>
                </c:pt>
                <c:pt idx="71">
                  <c:v>5317.2201999999997</c:v>
                </c:pt>
                <c:pt idx="72">
                  <c:v>5374.7798000000003</c:v>
                </c:pt>
                <c:pt idx="73">
                  <c:v>5388.4701999999997</c:v>
                </c:pt>
                <c:pt idx="74">
                  <c:v>5324.1400999999996</c:v>
                </c:pt>
                <c:pt idx="75">
                  <c:v>5268.75</c:v>
                </c:pt>
                <c:pt idx="76">
                  <c:v>5442</c:v>
                </c:pt>
                <c:pt idx="77">
                  <c:v>5388.9399000000003</c:v>
                </c:pt>
                <c:pt idx="78">
                  <c:v>5360.6499000000003</c:v>
                </c:pt>
                <c:pt idx="79">
                  <c:v>5251.46</c:v>
                </c:pt>
                <c:pt idx="80">
                  <c:v>5144.2798000000003</c:v>
                </c:pt>
                <c:pt idx="81">
                  <c:v>5088.1298999999999</c:v>
                </c:pt>
                <c:pt idx="82">
                  <c:v>5018.6698999999999</c:v>
                </c:pt>
                <c:pt idx="83">
                  <c:v>5108.4799999999996</c:v>
                </c:pt>
                <c:pt idx="84">
                  <c:v>5107.4399000000003</c:v>
                </c:pt>
                <c:pt idx="85">
                  <c:v>5107.4399000000003</c:v>
                </c:pt>
                <c:pt idx="86">
                  <c:v>5314.6602000000003</c:v>
                </c:pt>
                <c:pt idx="87">
                  <c:v>5232.0298000000003</c:v>
                </c:pt>
                <c:pt idx="88">
                  <c:v>5229.7997999999998</c:v>
                </c:pt>
                <c:pt idx="89">
                  <c:v>5186.2299999999996</c:v>
                </c:pt>
                <c:pt idx="90">
                  <c:v>5257.5801000000001</c:v>
                </c:pt>
                <c:pt idx="91">
                  <c:v>5341.6899000000003</c:v>
                </c:pt>
                <c:pt idx="92">
                  <c:v>5297.3500999999997</c:v>
                </c:pt>
                <c:pt idx="93">
                  <c:v>5376.8798999999999</c:v>
                </c:pt>
                <c:pt idx="94">
                  <c:v>5361.2201999999997</c:v>
                </c:pt>
                <c:pt idx="95">
                  <c:v>5393.1400999999996</c:v>
                </c:pt>
                <c:pt idx="96">
                  <c:v>5342.8500999999997</c:v>
                </c:pt>
                <c:pt idx="97">
                  <c:v>5388.8999000000003</c:v>
                </c:pt>
                <c:pt idx="98">
                  <c:v>5510.98</c:v>
                </c:pt>
                <c:pt idx="99">
                  <c:v>5510.98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7-4D41-8CBF-1DA0B1ABC4B2}"/>
            </c:ext>
          </c:extLst>
        </c:ser>
        <c:ser>
          <c:idx val="1"/>
          <c:order val="1"/>
          <c:tx>
            <c:strRef>
              <c:f>'Moving Average'!$C$3</c:f>
              <c:strCache>
                <c:ptCount val="1"/>
                <c:pt idx="0">
                  <c:v>MA 10 days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Average'!$C$4:$C$103</c:f>
              <c:numCache>
                <c:formatCode>0.00</c:formatCode>
                <c:ptCount val="100"/>
                <c:pt idx="9">
                  <c:v>4261.3619799999997</c:v>
                </c:pt>
                <c:pt idx="10">
                  <c:v>4248.2709699999996</c:v>
                </c:pt>
                <c:pt idx="11">
                  <c:v>4238.2839499999991</c:v>
                </c:pt>
                <c:pt idx="12">
                  <c:v>4233.8119799999995</c:v>
                </c:pt>
                <c:pt idx="13">
                  <c:v>4222.9419600000001</c:v>
                </c:pt>
                <c:pt idx="14">
                  <c:v>4210.2439600000007</c:v>
                </c:pt>
                <c:pt idx="15">
                  <c:v>4210.2809800000014</c:v>
                </c:pt>
                <c:pt idx="16">
                  <c:v>4224.030960000001</c:v>
                </c:pt>
                <c:pt idx="17">
                  <c:v>4235.96695</c:v>
                </c:pt>
                <c:pt idx="18">
                  <c:v>4256.0609400000003</c:v>
                </c:pt>
                <c:pt idx="19">
                  <c:v>4283.1649500000003</c:v>
                </c:pt>
                <c:pt idx="20">
                  <c:v>4308.7569399999993</c:v>
                </c:pt>
                <c:pt idx="21">
                  <c:v>4332.54396</c:v>
                </c:pt>
                <c:pt idx="22">
                  <c:v>4355.0049400000007</c:v>
                </c:pt>
                <c:pt idx="23">
                  <c:v>4375.4159799999998</c:v>
                </c:pt>
                <c:pt idx="24">
                  <c:v>4408.2369799999997</c:v>
                </c:pt>
                <c:pt idx="25">
                  <c:v>4434.1389799999997</c:v>
                </c:pt>
                <c:pt idx="26">
                  <c:v>4468.0159800000001</c:v>
                </c:pt>
                <c:pt idx="27">
                  <c:v>4492.5150000000003</c:v>
                </c:pt>
                <c:pt idx="28">
                  <c:v>4512.2560199999998</c:v>
                </c:pt>
                <c:pt idx="29">
                  <c:v>4524.0010400000001</c:v>
                </c:pt>
                <c:pt idx="30">
                  <c:v>4530.2110499999999</c:v>
                </c:pt>
                <c:pt idx="31">
                  <c:v>4529.9940499999993</c:v>
                </c:pt>
                <c:pt idx="32">
                  <c:v>4536.9820399999999</c:v>
                </c:pt>
                <c:pt idx="33">
                  <c:v>4551.1700299999993</c:v>
                </c:pt>
                <c:pt idx="34">
                  <c:v>4554.5640199999998</c:v>
                </c:pt>
                <c:pt idx="35">
                  <c:v>4565.1960000000008</c:v>
                </c:pt>
                <c:pt idx="36">
                  <c:v>4574.5950199999997</c:v>
                </c:pt>
                <c:pt idx="37">
                  <c:v>4582.1740200000004</c:v>
                </c:pt>
                <c:pt idx="38">
                  <c:v>4586.9129799999992</c:v>
                </c:pt>
                <c:pt idx="39">
                  <c:v>4602.4329499999994</c:v>
                </c:pt>
                <c:pt idx="40">
                  <c:v>4623.1679599999998</c:v>
                </c:pt>
                <c:pt idx="41">
                  <c:v>4644.777970000001</c:v>
                </c:pt>
                <c:pt idx="42">
                  <c:v>4660.2519899999998</c:v>
                </c:pt>
                <c:pt idx="43">
                  <c:v>4668.3269899999996</c:v>
                </c:pt>
                <c:pt idx="44">
                  <c:v>4672.4269899999999</c:v>
                </c:pt>
                <c:pt idx="45">
                  <c:v>4683.7570199999991</c:v>
                </c:pt>
                <c:pt idx="46">
                  <c:v>4696.0860300000004</c:v>
                </c:pt>
                <c:pt idx="47">
                  <c:v>4719.5750500000004</c:v>
                </c:pt>
                <c:pt idx="48">
                  <c:v>4739.2690500000008</c:v>
                </c:pt>
                <c:pt idx="49">
                  <c:v>4754.0260800000005</c:v>
                </c:pt>
                <c:pt idx="50">
                  <c:v>4772.0080600000001</c:v>
                </c:pt>
                <c:pt idx="51">
                  <c:v>4786.7190499999997</c:v>
                </c:pt>
                <c:pt idx="52">
                  <c:v>4805.6730599999992</c:v>
                </c:pt>
                <c:pt idx="53">
                  <c:v>4826.6870699999999</c:v>
                </c:pt>
                <c:pt idx="54">
                  <c:v>4857.9790599999997</c:v>
                </c:pt>
                <c:pt idx="55">
                  <c:v>4886.5390200000002</c:v>
                </c:pt>
                <c:pt idx="56">
                  <c:v>4905.5879899999991</c:v>
                </c:pt>
                <c:pt idx="57">
                  <c:v>4924.9689899999994</c:v>
                </c:pt>
                <c:pt idx="58">
                  <c:v>4951.35502</c:v>
                </c:pt>
                <c:pt idx="59">
                  <c:v>4971.3709900000003</c:v>
                </c:pt>
                <c:pt idx="60">
                  <c:v>4990.7220199999992</c:v>
                </c:pt>
                <c:pt idx="61">
                  <c:v>5003.3129900000004</c:v>
                </c:pt>
                <c:pt idx="62">
                  <c:v>5018.8799799999997</c:v>
                </c:pt>
                <c:pt idx="63">
                  <c:v>5042.3289599999998</c:v>
                </c:pt>
                <c:pt idx="64">
                  <c:v>5066.3629999999994</c:v>
                </c:pt>
                <c:pt idx="65">
                  <c:v>5088.5600199999999</c:v>
                </c:pt>
                <c:pt idx="66">
                  <c:v>5118.5930300000009</c:v>
                </c:pt>
                <c:pt idx="67">
                  <c:v>5151.4739900000004</c:v>
                </c:pt>
                <c:pt idx="68">
                  <c:v>5168.7579800000003</c:v>
                </c:pt>
                <c:pt idx="69">
                  <c:v>5196.5040200000003</c:v>
                </c:pt>
                <c:pt idx="70">
                  <c:v>5219.9100200000003</c:v>
                </c:pt>
                <c:pt idx="71">
                  <c:v>5250.6560599999993</c:v>
                </c:pt>
                <c:pt idx="72">
                  <c:v>5277.8990300000005</c:v>
                </c:pt>
                <c:pt idx="73">
                  <c:v>5301.3250499999995</c:v>
                </c:pt>
                <c:pt idx="74">
                  <c:v>5316.0730399999993</c:v>
                </c:pt>
                <c:pt idx="75">
                  <c:v>5320.5960399999985</c:v>
                </c:pt>
                <c:pt idx="76">
                  <c:v>5337.63105</c:v>
                </c:pt>
                <c:pt idx="77">
                  <c:v>5340.82006</c:v>
                </c:pt>
                <c:pt idx="78">
                  <c:v>5349.939049999999</c:v>
                </c:pt>
                <c:pt idx="79">
                  <c:v>5343.3630299999995</c:v>
                </c:pt>
                <c:pt idx="80">
                  <c:v>5326.0689899999998</c:v>
                </c:pt>
                <c:pt idx="81">
                  <c:v>5303.15996</c:v>
                </c:pt>
                <c:pt idx="82">
                  <c:v>5267.5489699999998</c:v>
                </c:pt>
                <c:pt idx="83">
                  <c:v>5239.5499500000005</c:v>
                </c:pt>
                <c:pt idx="84">
                  <c:v>5217.8799300000001</c:v>
                </c:pt>
                <c:pt idx="85">
                  <c:v>5201.74892</c:v>
                </c:pt>
                <c:pt idx="86">
                  <c:v>5189.0149399999991</c:v>
                </c:pt>
                <c:pt idx="87">
                  <c:v>5173.3239300000005</c:v>
                </c:pt>
                <c:pt idx="88">
                  <c:v>5160.2389199999998</c:v>
                </c:pt>
                <c:pt idx="89">
                  <c:v>5153.7159200000006</c:v>
                </c:pt>
                <c:pt idx="90">
                  <c:v>5165.0459500000006</c:v>
                </c:pt>
                <c:pt idx="91">
                  <c:v>5190.4019500000004</c:v>
                </c:pt>
                <c:pt idx="92">
                  <c:v>5218.2699699999994</c:v>
                </c:pt>
                <c:pt idx="93">
                  <c:v>5245.1099599999998</c:v>
                </c:pt>
                <c:pt idx="94">
                  <c:v>5270.4879899999996</c:v>
                </c:pt>
                <c:pt idx="95">
                  <c:v>5299.0580099999997</c:v>
                </c:pt>
                <c:pt idx="96">
                  <c:v>5301.8770000000004</c:v>
                </c:pt>
                <c:pt idx="97">
                  <c:v>5317.5640100000001</c:v>
                </c:pt>
                <c:pt idx="98">
                  <c:v>5345.682029999999</c:v>
                </c:pt>
                <c:pt idx="99">
                  <c:v>5378.1570299999994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7-4D41-8CBF-1DA0B1ABC4B2}"/>
            </c:ext>
          </c:extLst>
        </c:ser>
        <c:ser>
          <c:idx val="2"/>
          <c:order val="2"/>
          <c:tx>
            <c:strRef>
              <c:f>'Moving Average'!$D$3</c:f>
              <c:strCache>
                <c:ptCount val="1"/>
                <c:pt idx="0">
                  <c:v>MA 20 days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'Moving Average'!$A$4:$A$103</c:f>
              <c:numCache>
                <c:formatCode>m/d/yyyy</c:formatCode>
                <c:ptCount val="100"/>
                <c:pt idx="0">
                  <c:v>41640</c:v>
                </c:pt>
                <c:pt idx="1">
                  <c:v>41641</c:v>
                </c:pt>
                <c:pt idx="2">
                  <c:v>41642</c:v>
                </c:pt>
                <c:pt idx="3">
                  <c:v>41643</c:v>
                </c:pt>
                <c:pt idx="4">
                  <c:v>41644</c:v>
                </c:pt>
                <c:pt idx="5">
                  <c:v>41645</c:v>
                </c:pt>
                <c:pt idx="6">
                  <c:v>41646</c:v>
                </c:pt>
                <c:pt idx="7">
                  <c:v>41647</c:v>
                </c:pt>
                <c:pt idx="8">
                  <c:v>41648</c:v>
                </c:pt>
                <c:pt idx="9">
                  <c:v>41649</c:v>
                </c:pt>
                <c:pt idx="10">
                  <c:v>41650</c:v>
                </c:pt>
                <c:pt idx="11">
                  <c:v>41651</c:v>
                </c:pt>
                <c:pt idx="12">
                  <c:v>41652</c:v>
                </c:pt>
                <c:pt idx="13">
                  <c:v>41653</c:v>
                </c:pt>
                <c:pt idx="14">
                  <c:v>41654</c:v>
                </c:pt>
                <c:pt idx="15">
                  <c:v>41655</c:v>
                </c:pt>
                <c:pt idx="16">
                  <c:v>41656</c:v>
                </c:pt>
                <c:pt idx="17">
                  <c:v>41657</c:v>
                </c:pt>
                <c:pt idx="18">
                  <c:v>41658</c:v>
                </c:pt>
                <c:pt idx="19">
                  <c:v>41659</c:v>
                </c:pt>
                <c:pt idx="20">
                  <c:v>41660</c:v>
                </c:pt>
                <c:pt idx="21">
                  <c:v>41661</c:v>
                </c:pt>
                <c:pt idx="22">
                  <c:v>41662</c:v>
                </c:pt>
                <c:pt idx="23">
                  <c:v>41663</c:v>
                </c:pt>
                <c:pt idx="24">
                  <c:v>41664</c:v>
                </c:pt>
                <c:pt idx="25">
                  <c:v>41665</c:v>
                </c:pt>
                <c:pt idx="26">
                  <c:v>41666</c:v>
                </c:pt>
                <c:pt idx="27">
                  <c:v>41667</c:v>
                </c:pt>
                <c:pt idx="28">
                  <c:v>41668</c:v>
                </c:pt>
                <c:pt idx="29">
                  <c:v>41669</c:v>
                </c:pt>
                <c:pt idx="30">
                  <c:v>41670</c:v>
                </c:pt>
                <c:pt idx="31">
                  <c:v>41671</c:v>
                </c:pt>
                <c:pt idx="32">
                  <c:v>41672</c:v>
                </c:pt>
                <c:pt idx="33">
                  <c:v>41673</c:v>
                </c:pt>
                <c:pt idx="34">
                  <c:v>41674</c:v>
                </c:pt>
                <c:pt idx="35">
                  <c:v>41675</c:v>
                </c:pt>
                <c:pt idx="36">
                  <c:v>41676</c:v>
                </c:pt>
                <c:pt idx="37">
                  <c:v>41677</c:v>
                </c:pt>
                <c:pt idx="38">
                  <c:v>41678</c:v>
                </c:pt>
                <c:pt idx="39">
                  <c:v>41679</c:v>
                </c:pt>
                <c:pt idx="40">
                  <c:v>41680</c:v>
                </c:pt>
                <c:pt idx="41">
                  <c:v>41681</c:v>
                </c:pt>
                <c:pt idx="42">
                  <c:v>41682</c:v>
                </c:pt>
                <c:pt idx="43">
                  <c:v>41683</c:v>
                </c:pt>
                <c:pt idx="44">
                  <c:v>41684</c:v>
                </c:pt>
                <c:pt idx="45">
                  <c:v>41685</c:v>
                </c:pt>
                <c:pt idx="46">
                  <c:v>41686</c:v>
                </c:pt>
                <c:pt idx="47">
                  <c:v>41687</c:v>
                </c:pt>
                <c:pt idx="48">
                  <c:v>41688</c:v>
                </c:pt>
                <c:pt idx="49">
                  <c:v>41689</c:v>
                </c:pt>
                <c:pt idx="50">
                  <c:v>41690</c:v>
                </c:pt>
                <c:pt idx="51">
                  <c:v>41691</c:v>
                </c:pt>
                <c:pt idx="52">
                  <c:v>41692</c:v>
                </c:pt>
                <c:pt idx="53">
                  <c:v>41693</c:v>
                </c:pt>
                <c:pt idx="54">
                  <c:v>41694</c:v>
                </c:pt>
                <c:pt idx="55">
                  <c:v>41695</c:v>
                </c:pt>
                <c:pt idx="56">
                  <c:v>41696</c:v>
                </c:pt>
                <c:pt idx="57">
                  <c:v>41697</c:v>
                </c:pt>
                <c:pt idx="58">
                  <c:v>41698</c:v>
                </c:pt>
                <c:pt idx="59">
                  <c:v>41699</c:v>
                </c:pt>
                <c:pt idx="60">
                  <c:v>41700</c:v>
                </c:pt>
                <c:pt idx="61">
                  <c:v>41701</c:v>
                </c:pt>
                <c:pt idx="62">
                  <c:v>41702</c:v>
                </c:pt>
                <c:pt idx="63">
                  <c:v>41703</c:v>
                </c:pt>
                <c:pt idx="64">
                  <c:v>41704</c:v>
                </c:pt>
                <c:pt idx="65">
                  <c:v>41705</c:v>
                </c:pt>
                <c:pt idx="66">
                  <c:v>41706</c:v>
                </c:pt>
                <c:pt idx="67">
                  <c:v>41707</c:v>
                </c:pt>
                <c:pt idx="68">
                  <c:v>41708</c:v>
                </c:pt>
                <c:pt idx="69">
                  <c:v>41709</c:v>
                </c:pt>
                <c:pt idx="70">
                  <c:v>41710</c:v>
                </c:pt>
                <c:pt idx="71">
                  <c:v>41711</c:v>
                </c:pt>
                <c:pt idx="72">
                  <c:v>41712</c:v>
                </c:pt>
                <c:pt idx="73">
                  <c:v>41713</c:v>
                </c:pt>
                <c:pt idx="74">
                  <c:v>41714</c:v>
                </c:pt>
                <c:pt idx="75">
                  <c:v>41715</c:v>
                </c:pt>
                <c:pt idx="76">
                  <c:v>41716</c:v>
                </c:pt>
                <c:pt idx="77">
                  <c:v>41717</c:v>
                </c:pt>
                <c:pt idx="78">
                  <c:v>41718</c:v>
                </c:pt>
                <c:pt idx="79">
                  <c:v>41719</c:v>
                </c:pt>
                <c:pt idx="80">
                  <c:v>41720</c:v>
                </c:pt>
                <c:pt idx="81">
                  <c:v>41721</c:v>
                </c:pt>
                <c:pt idx="82">
                  <c:v>41722</c:v>
                </c:pt>
                <c:pt idx="83">
                  <c:v>41723</c:v>
                </c:pt>
                <c:pt idx="84">
                  <c:v>41724</c:v>
                </c:pt>
                <c:pt idx="85">
                  <c:v>41725</c:v>
                </c:pt>
                <c:pt idx="86">
                  <c:v>41726</c:v>
                </c:pt>
                <c:pt idx="87">
                  <c:v>41727</c:v>
                </c:pt>
                <c:pt idx="88">
                  <c:v>41728</c:v>
                </c:pt>
                <c:pt idx="89">
                  <c:v>41729</c:v>
                </c:pt>
                <c:pt idx="90">
                  <c:v>41730</c:v>
                </c:pt>
                <c:pt idx="91">
                  <c:v>41731</c:v>
                </c:pt>
                <c:pt idx="92">
                  <c:v>41732</c:v>
                </c:pt>
                <c:pt idx="93">
                  <c:v>41733</c:v>
                </c:pt>
                <c:pt idx="94">
                  <c:v>41734</c:v>
                </c:pt>
                <c:pt idx="95">
                  <c:v>41735</c:v>
                </c:pt>
                <c:pt idx="96">
                  <c:v>41736</c:v>
                </c:pt>
                <c:pt idx="97">
                  <c:v>41737</c:v>
                </c:pt>
                <c:pt idx="98">
                  <c:v>41738</c:v>
                </c:pt>
                <c:pt idx="99">
                  <c:v>41739</c:v>
                </c:pt>
              </c:numCache>
            </c:numRef>
          </c:cat>
          <c:val>
            <c:numRef>
              <c:f>'Moving Average'!$D$4:$D$103</c:f>
              <c:numCache>
                <c:formatCode>0.00</c:formatCode>
                <c:ptCount val="100"/>
                <c:pt idx="19">
                  <c:v>4272.263465</c:v>
                </c:pt>
                <c:pt idx="20">
                  <c:v>4278.5139550000004</c:v>
                </c:pt>
                <c:pt idx="21">
                  <c:v>4285.413955</c:v>
                </c:pt>
                <c:pt idx="22">
                  <c:v>4294.4084600000006</c:v>
                </c:pt>
                <c:pt idx="23">
                  <c:v>4299.1789700000008</c:v>
                </c:pt>
                <c:pt idx="24">
                  <c:v>4309.2404700000016</c:v>
                </c:pt>
                <c:pt idx="25">
                  <c:v>4322.2099800000015</c:v>
                </c:pt>
                <c:pt idx="26">
                  <c:v>4346.0234700000019</c:v>
                </c:pt>
                <c:pt idx="27">
                  <c:v>4364.2409750000015</c:v>
                </c:pt>
                <c:pt idx="28">
                  <c:v>4384.1584800000001</c:v>
                </c:pt>
                <c:pt idx="29">
                  <c:v>4403.5829950000007</c:v>
                </c:pt>
                <c:pt idx="30">
                  <c:v>4419.4839950000005</c:v>
                </c:pt>
                <c:pt idx="31">
                  <c:v>4431.2690050000001</c:v>
                </c:pt>
                <c:pt idx="32">
                  <c:v>4445.9934900000007</c:v>
                </c:pt>
                <c:pt idx="33">
                  <c:v>4463.2930050000014</c:v>
                </c:pt>
                <c:pt idx="34">
                  <c:v>4481.4005000000016</c:v>
                </c:pt>
                <c:pt idx="35">
                  <c:v>4499.6674900000016</c:v>
                </c:pt>
                <c:pt idx="36">
                  <c:v>4521.3055000000004</c:v>
                </c:pt>
                <c:pt idx="37">
                  <c:v>4537.3445099999999</c:v>
                </c:pt>
                <c:pt idx="38">
                  <c:v>4549.584499999999</c:v>
                </c:pt>
                <c:pt idx="39">
                  <c:v>4563.2169949999989</c:v>
                </c:pt>
                <c:pt idx="40">
                  <c:v>4576.6895049999994</c:v>
                </c:pt>
                <c:pt idx="41">
                  <c:v>4587.3860099999993</c:v>
                </c:pt>
                <c:pt idx="42">
                  <c:v>4598.6170150000007</c:v>
                </c:pt>
                <c:pt idx="43">
                  <c:v>4609.7485100000004</c:v>
                </c:pt>
                <c:pt idx="44">
                  <c:v>4613.4955050000008</c:v>
                </c:pt>
                <c:pt idx="45">
                  <c:v>4624.4765100000022</c:v>
                </c:pt>
                <c:pt idx="46">
                  <c:v>4635.3405250000014</c:v>
                </c:pt>
                <c:pt idx="47">
                  <c:v>4650.8745350000008</c:v>
                </c:pt>
                <c:pt idx="48">
                  <c:v>4663.0910150000009</c:v>
                </c:pt>
                <c:pt idx="49">
                  <c:v>4678.229515</c:v>
                </c:pt>
                <c:pt idx="50">
                  <c:v>4697.5880100000004</c:v>
                </c:pt>
                <c:pt idx="51">
                  <c:v>4715.7485099999994</c:v>
                </c:pt>
                <c:pt idx="52">
                  <c:v>4732.9625249999999</c:v>
                </c:pt>
                <c:pt idx="53">
                  <c:v>4747.5070299999998</c:v>
                </c:pt>
                <c:pt idx="54">
                  <c:v>4765.2030249999998</c:v>
                </c:pt>
                <c:pt idx="55">
                  <c:v>4785.1480199999987</c:v>
                </c:pt>
                <c:pt idx="56">
                  <c:v>4800.8370099999993</c:v>
                </c:pt>
                <c:pt idx="57">
                  <c:v>4822.2720199999994</c:v>
                </c:pt>
                <c:pt idx="58">
                  <c:v>4845.3120349999999</c:v>
                </c:pt>
                <c:pt idx="59">
                  <c:v>4862.6985349999995</c:v>
                </c:pt>
                <c:pt idx="60">
                  <c:v>4881.3650399999988</c:v>
                </c:pt>
                <c:pt idx="61">
                  <c:v>4895.0160199999991</c:v>
                </c:pt>
                <c:pt idx="62">
                  <c:v>4912.2765199999994</c:v>
                </c:pt>
                <c:pt idx="63">
                  <c:v>4934.5080150000003</c:v>
                </c:pt>
                <c:pt idx="64">
                  <c:v>4962.1710299999995</c:v>
                </c:pt>
                <c:pt idx="65">
                  <c:v>4987.5495199999996</c:v>
                </c:pt>
                <c:pt idx="66">
                  <c:v>5012.09051</c:v>
                </c:pt>
                <c:pt idx="67">
                  <c:v>5038.2214899999999</c:v>
                </c:pt>
                <c:pt idx="68">
                  <c:v>5060.0565000000006</c:v>
                </c:pt>
                <c:pt idx="69">
                  <c:v>5083.9375049999999</c:v>
                </c:pt>
                <c:pt idx="70">
                  <c:v>5105.3160200000002</c:v>
                </c:pt>
                <c:pt idx="71">
                  <c:v>5126.9845249999989</c:v>
                </c:pt>
                <c:pt idx="72">
                  <c:v>5148.3895049999992</c:v>
                </c:pt>
                <c:pt idx="73">
                  <c:v>5171.8270049999992</c:v>
                </c:pt>
                <c:pt idx="74">
                  <c:v>5191.2180199999993</c:v>
                </c:pt>
                <c:pt idx="75">
                  <c:v>5204.5780299999997</c:v>
                </c:pt>
                <c:pt idx="76">
                  <c:v>5228.11204</c:v>
                </c:pt>
                <c:pt idx="77">
                  <c:v>5246.1470250000002</c:v>
                </c:pt>
                <c:pt idx="78">
                  <c:v>5259.3485149999997</c:v>
                </c:pt>
                <c:pt idx="79">
                  <c:v>5269.9335250000004</c:v>
                </c:pt>
                <c:pt idx="80">
                  <c:v>5272.9895050000005</c:v>
                </c:pt>
                <c:pt idx="81">
                  <c:v>5276.908010000001</c:v>
                </c:pt>
                <c:pt idx="82">
                  <c:v>5272.7240000000002</c:v>
                </c:pt>
                <c:pt idx="83">
                  <c:v>5270.4374999999991</c:v>
                </c:pt>
                <c:pt idx="84">
                  <c:v>5266.9764850000001</c:v>
                </c:pt>
                <c:pt idx="85">
                  <c:v>5261.1724799999993</c:v>
                </c:pt>
                <c:pt idx="86">
                  <c:v>5263.3229949999995</c:v>
                </c:pt>
                <c:pt idx="87">
                  <c:v>5257.0719949999993</c:v>
                </c:pt>
                <c:pt idx="88">
                  <c:v>5255.0889849999985</c:v>
                </c:pt>
                <c:pt idx="89">
                  <c:v>5248.5394749999987</c:v>
                </c:pt>
                <c:pt idx="90">
                  <c:v>5245.5574699999997</c:v>
                </c:pt>
                <c:pt idx="91">
                  <c:v>5246.7809550000002</c:v>
                </c:pt>
                <c:pt idx="92">
                  <c:v>5242.9094699999996</c:v>
                </c:pt>
                <c:pt idx="93">
                  <c:v>5242.3299549999992</c:v>
                </c:pt>
                <c:pt idx="94">
                  <c:v>5244.1839599999994</c:v>
                </c:pt>
                <c:pt idx="95">
                  <c:v>5250.4034649999994</c:v>
                </c:pt>
                <c:pt idx="96">
                  <c:v>5245.4459699999998</c:v>
                </c:pt>
                <c:pt idx="97">
                  <c:v>5245.4439700000003</c:v>
                </c:pt>
                <c:pt idx="98">
                  <c:v>5252.9604749999999</c:v>
                </c:pt>
                <c:pt idx="99">
                  <c:v>5265.9364750000004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D7-4D41-8CBF-1DA0B1ABC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865984"/>
        <c:axId val="230223808"/>
      </c:lineChart>
      <c:dateAx>
        <c:axId val="22986598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223808"/>
        <c:crosses val="autoZero"/>
        <c:auto val="1"/>
        <c:lblOffset val="100"/>
        <c:baseTimeUnit val="days"/>
        <c:majorUnit val="7"/>
        <c:majorTimeUnit val="days"/>
        <c:minorUnit val="1"/>
        <c:minorTimeUnit val="days"/>
      </c:dateAx>
      <c:valAx>
        <c:axId val="230223808"/>
        <c:scaling>
          <c:orientation val="minMax"/>
          <c:min val="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86598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2456186689319905"/>
          <c:y val="0.91948168562510857"/>
          <c:w val="0.39327541528950694"/>
          <c:h val="6.233774139831244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4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4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12700">
          <a:solidFill>
            <a:srgbClr val="808080"/>
          </a:solidFill>
          <a:prstDash val="solid"/>
        </a:ln>
      </c:spPr>
    </c:sideWall>
    <c:backWall>
      <c:thickness val="0"/>
      <c:spPr>
        <a:noFill/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497326203208556"/>
          <c:y val="8.4821428571428575E-2"/>
          <c:w val="0.81283422459893051"/>
          <c:h val="0.611607142857142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Installment!$C$7</c:f>
              <c:strCache>
                <c:ptCount val="1"/>
                <c:pt idx="0">
                  <c:v>Redemption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Installment!$C$8:$C$27</c:f>
              <c:numCache>
                <c:formatCode>General</c:formatCode>
                <c:ptCount val="20"/>
                <c:pt idx="0">
                  <c:v>7000</c:v>
                </c:pt>
                <c:pt idx="1">
                  <c:v>7000</c:v>
                </c:pt>
                <c:pt idx="2">
                  <c:v>7000</c:v>
                </c:pt>
                <c:pt idx="3">
                  <c:v>7000</c:v>
                </c:pt>
                <c:pt idx="4">
                  <c:v>7000</c:v>
                </c:pt>
                <c:pt idx="5">
                  <c:v>7000</c:v>
                </c:pt>
                <c:pt idx="6">
                  <c:v>7000</c:v>
                </c:pt>
                <c:pt idx="7">
                  <c:v>7000</c:v>
                </c:pt>
                <c:pt idx="8">
                  <c:v>7000</c:v>
                </c:pt>
                <c:pt idx="9">
                  <c:v>7000</c:v>
                </c:pt>
                <c:pt idx="10">
                  <c:v>7000</c:v>
                </c:pt>
                <c:pt idx="11">
                  <c:v>7000</c:v>
                </c:pt>
                <c:pt idx="12">
                  <c:v>7000</c:v>
                </c:pt>
                <c:pt idx="13">
                  <c:v>7000</c:v>
                </c:pt>
                <c:pt idx="14">
                  <c:v>2000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B-4159-AAB1-821F85705901}"/>
            </c:ext>
          </c:extLst>
        </c:ser>
        <c:ser>
          <c:idx val="1"/>
          <c:order val="1"/>
          <c:tx>
            <c:strRef>
              <c:f>Installment!$D$7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Installment!$D$8:$D$27</c:f>
              <c:numCache>
                <c:formatCode>General</c:formatCode>
                <c:ptCount val="20"/>
                <c:pt idx="0">
                  <c:v>7000.0000000000009</c:v>
                </c:pt>
                <c:pt idx="1">
                  <c:v>6510.0000000000009</c:v>
                </c:pt>
                <c:pt idx="2">
                  <c:v>6020.0000000000009</c:v>
                </c:pt>
                <c:pt idx="3">
                  <c:v>5530.0000000000009</c:v>
                </c:pt>
                <c:pt idx="4">
                  <c:v>5040.0000000000009</c:v>
                </c:pt>
                <c:pt idx="5">
                  <c:v>4550</c:v>
                </c:pt>
                <c:pt idx="6">
                  <c:v>4060.0000000000005</c:v>
                </c:pt>
                <c:pt idx="7">
                  <c:v>3570.0000000000005</c:v>
                </c:pt>
                <c:pt idx="8">
                  <c:v>3080.0000000000005</c:v>
                </c:pt>
                <c:pt idx="9">
                  <c:v>2590.0000000000005</c:v>
                </c:pt>
                <c:pt idx="10">
                  <c:v>2100</c:v>
                </c:pt>
                <c:pt idx="11">
                  <c:v>1610.0000000000002</c:v>
                </c:pt>
                <c:pt idx="12">
                  <c:v>1120</c:v>
                </c:pt>
                <c:pt idx="13">
                  <c:v>630.00000000000011</c:v>
                </c:pt>
                <c:pt idx="14">
                  <c:v>140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B-4159-AAB1-821F85705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1203328"/>
        <c:axId val="230226112"/>
        <c:axId val="0"/>
      </c:bar3DChart>
      <c:catAx>
        <c:axId val="23120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0226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0226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203328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0213903743315507"/>
          <c:y val="0.8616071428571429"/>
          <c:w val="0.39839572192513367"/>
          <c:h val="0.107142857142857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4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48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noFill/>
        <a:ln w="12700">
          <a:solidFill>
            <a:srgbClr val="808080"/>
          </a:solidFill>
          <a:prstDash val="solid"/>
        </a:ln>
      </c:spPr>
    </c:sideWall>
    <c:backWall>
      <c:thickness val="0"/>
      <c:spPr>
        <a:noFill/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5013424479285983"/>
          <c:y val="8.0717665528800997E-2"/>
          <c:w val="0.81233350307565233"/>
          <c:h val="0.61435112096920752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Annuity!$C$8</c:f>
              <c:strCache>
                <c:ptCount val="1"/>
                <c:pt idx="0">
                  <c:v>Redemption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Annuity!$C$9:$C$28</c:f>
              <c:numCache>
                <c:formatCode>0.00</c:formatCode>
                <c:ptCount val="20"/>
                <c:pt idx="0">
                  <c:v>7237.7502727364708</c:v>
                </c:pt>
                <c:pt idx="1">
                  <c:v>7744.3927918280242</c:v>
                </c:pt>
                <c:pt idx="2">
                  <c:v>8286.5002872559853</c:v>
                </c:pt>
                <c:pt idx="3">
                  <c:v>8866.5553073639057</c:v>
                </c:pt>
                <c:pt idx="4">
                  <c:v>9487.2141788793779</c:v>
                </c:pt>
                <c:pt idx="5">
                  <c:v>10151.319171400935</c:v>
                </c:pt>
                <c:pt idx="6">
                  <c:v>10861.911513399002</c:v>
                </c:pt>
                <c:pt idx="7">
                  <c:v>11622.245319336931</c:v>
                </c:pt>
                <c:pt idx="8">
                  <c:v>12435.802491690516</c:v>
                </c:pt>
                <c:pt idx="9">
                  <c:v>13306.308666108853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9-4ED3-BC48-85A37B7EC3B1}"/>
            </c:ext>
          </c:extLst>
        </c:ser>
        <c:ser>
          <c:idx val="1"/>
          <c:order val="1"/>
          <c:tx>
            <c:strRef>
              <c:f>Annuity!$D$8</c:f>
              <c:strCache>
                <c:ptCount val="1"/>
                <c:pt idx="0">
                  <c:v>Interest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Annuity!$D$9:$D$28</c:f>
              <c:numCache>
                <c:formatCode>0.00</c:formatCode>
                <c:ptCount val="20"/>
                <c:pt idx="0">
                  <c:v>7000.0000000000009</c:v>
                </c:pt>
                <c:pt idx="1">
                  <c:v>6493.3574809084475</c:v>
                </c:pt>
                <c:pt idx="2">
                  <c:v>5951.2499854804855</c:v>
                </c:pt>
                <c:pt idx="3">
                  <c:v>5371.194965372566</c:v>
                </c:pt>
                <c:pt idx="4">
                  <c:v>4750.536093857093</c:v>
                </c:pt>
                <c:pt idx="5">
                  <c:v>4086.4311013355364</c:v>
                </c:pt>
                <c:pt idx="6">
                  <c:v>3375.8387593374709</c:v>
                </c:pt>
                <c:pt idx="7">
                  <c:v>2615.5049533995402</c:v>
                </c:pt>
                <c:pt idx="8">
                  <c:v>1801.9477810459553</c:v>
                </c:pt>
                <c:pt idx="9">
                  <c:v>931.44160662761897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49-4ED3-BC48-85A37B7EC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8729856"/>
        <c:axId val="231301120"/>
        <c:axId val="0"/>
      </c:bar3DChart>
      <c:catAx>
        <c:axId val="22872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130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31301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729856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0026848958571967"/>
          <c:y val="0.86098843230721056"/>
          <c:w val="0.39946432989528774"/>
          <c:h val="0.107623554038401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7</xdr:row>
      <xdr:rowOff>57150</xdr:rowOff>
    </xdr:from>
    <xdr:to>
      <xdr:col>4</xdr:col>
      <xdr:colOff>666750</xdr:colOff>
      <xdr:row>21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609600</xdr:colOff>
      <xdr:row>7</xdr:row>
      <xdr:rowOff>66675</xdr:rowOff>
    </xdr:from>
    <xdr:to>
      <xdr:col>11</xdr:col>
      <xdr:colOff>609600</xdr:colOff>
      <xdr:row>21</xdr:row>
      <xdr:rowOff>142875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3</xdr:row>
      <xdr:rowOff>57150</xdr:rowOff>
    </xdr:from>
    <xdr:to>
      <xdr:col>13</xdr:col>
      <xdr:colOff>304800</xdr:colOff>
      <xdr:row>26</xdr:row>
      <xdr:rowOff>0</xdr:rowOff>
    </xdr:to>
    <xdr:graphicFrame macro="">
      <xdr:nvGraphicFramePr>
        <xdr:cNvPr id="3" name="Diagram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304799</xdr:colOff>
      <xdr:row>4</xdr:row>
      <xdr:rowOff>28575</xdr:rowOff>
    </xdr:from>
    <xdr:to>
      <xdr:col>14</xdr:col>
      <xdr:colOff>333374</xdr:colOff>
      <xdr:row>24</xdr:row>
      <xdr:rowOff>142875</xdr:rowOff>
    </xdr:to>
    <xdr:graphicFrame macro="">
      <xdr:nvGraphicFramePr>
        <xdr:cNvPr id="4097" name="Diagramm 1">
          <a:extLst>
            <a:ext uri="{FF2B5EF4-FFF2-40B4-BE49-F238E27FC236}">
              <a16:creationId xmlns:a16="http://schemas.microsoft.com/office/drawing/2014/main" id="{00000000-0008-0000-0600-000001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4</xdr:row>
      <xdr:rowOff>28576</xdr:rowOff>
    </xdr:from>
    <xdr:to>
      <xdr:col>13</xdr:col>
      <xdr:colOff>447674</xdr:colOff>
      <xdr:row>23</xdr:row>
      <xdr:rowOff>152401</xdr:rowOff>
    </xdr:to>
    <xdr:graphicFrame macro="">
      <xdr:nvGraphicFramePr>
        <xdr:cNvPr id="3074" name="Diagramm 2">
          <a:extLst>
            <a:ext uri="{FF2B5EF4-FFF2-40B4-BE49-F238E27FC236}">
              <a16:creationId xmlns:a16="http://schemas.microsoft.com/office/drawing/2014/main" id="{00000000-0008-0000-0700-000002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B6"/>
  <sheetViews>
    <sheetView tabSelected="1" workbookViewId="0">
      <selection activeCell="A3" sqref="A3"/>
    </sheetView>
  </sheetViews>
  <sheetFormatPr defaultColWidth="11.5703125" defaultRowHeight="12.75" x14ac:dyDescent="0.2"/>
  <cols>
    <col min="1" max="1" width="18.28515625" customWidth="1"/>
  </cols>
  <sheetData>
    <row r="1" spans="1:2" ht="15.75" x14ac:dyDescent="0.25">
      <c r="A1" s="58" t="s">
        <v>1</v>
      </c>
      <c r="B1" s="59"/>
    </row>
    <row r="3" spans="1:2" x14ac:dyDescent="0.2">
      <c r="A3" t="s">
        <v>2</v>
      </c>
      <c r="B3">
        <v>10000</v>
      </c>
    </row>
    <row r="4" spans="1:2" x14ac:dyDescent="0.2">
      <c r="A4" t="s">
        <v>3</v>
      </c>
      <c r="B4" s="2">
        <v>0.08</v>
      </c>
    </row>
    <row r="5" spans="1:2" x14ac:dyDescent="0.2">
      <c r="A5" s="1" t="s">
        <v>4</v>
      </c>
      <c r="B5" s="1">
        <v>3</v>
      </c>
    </row>
    <row r="6" spans="1:2" x14ac:dyDescent="0.2">
      <c r="A6" t="s">
        <v>5</v>
      </c>
      <c r="B6">
        <f>B3*(1+B4)^B5</f>
        <v>12597.12</v>
      </c>
    </row>
  </sheetData>
  <mergeCells count="1">
    <mergeCell ref="A1:B1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G6"/>
  <sheetViews>
    <sheetView zoomScaleNormal="100" workbookViewId="0">
      <selection sqref="A1:B1"/>
    </sheetView>
  </sheetViews>
  <sheetFormatPr defaultColWidth="11.5703125" defaultRowHeight="12.75" x14ac:dyDescent="0.2"/>
  <cols>
    <col min="1" max="1" width="15.42578125" customWidth="1"/>
  </cols>
  <sheetData>
    <row r="1" spans="1:7" ht="15.75" x14ac:dyDescent="0.25">
      <c r="A1" s="58" t="s">
        <v>1</v>
      </c>
      <c r="B1" s="59"/>
    </row>
    <row r="3" spans="1:7" x14ac:dyDescent="0.2">
      <c r="A3" t="s">
        <v>2</v>
      </c>
      <c r="B3">
        <v>10000</v>
      </c>
    </row>
    <row r="4" spans="1:7" x14ac:dyDescent="0.2">
      <c r="A4" t="s">
        <v>3</v>
      </c>
      <c r="B4" s="2">
        <v>0.08</v>
      </c>
      <c r="C4" s="2">
        <v>0.08</v>
      </c>
      <c r="D4" s="2">
        <v>7.0000000000000007E-2</v>
      </c>
      <c r="E4" s="2">
        <v>7.0000000000000007E-2</v>
      </c>
      <c r="F4" s="2">
        <v>0.1</v>
      </c>
      <c r="G4" s="2">
        <v>0.05</v>
      </c>
    </row>
    <row r="5" spans="1:7" x14ac:dyDescent="0.2">
      <c r="A5" s="1" t="s">
        <v>4</v>
      </c>
      <c r="B5" s="1">
        <v>3</v>
      </c>
      <c r="C5" s="1">
        <v>4</v>
      </c>
      <c r="D5" s="1">
        <v>3</v>
      </c>
      <c r="E5" s="1">
        <v>4</v>
      </c>
      <c r="F5" s="1">
        <v>2</v>
      </c>
      <c r="G5" s="1">
        <v>10</v>
      </c>
    </row>
    <row r="6" spans="1:7" x14ac:dyDescent="0.2">
      <c r="A6" t="s">
        <v>5</v>
      </c>
      <c r="B6" s="6">
        <f>B3*(1+B4)^B5</f>
        <v>12597.12</v>
      </c>
      <c r="C6" s="6">
        <f>$B$3*(1+C4)^C5</f>
        <v>13604.889600000002</v>
      </c>
      <c r="D6" s="6">
        <f>$B$3*(1+D4)^D5</f>
        <v>12250.43</v>
      </c>
      <c r="E6" s="6">
        <f>$B$3*(1+E4)^E5</f>
        <v>13107.9601</v>
      </c>
      <c r="F6" s="6">
        <f>$B$3*(1+F4)^F5</f>
        <v>12100.000000000002</v>
      </c>
      <c r="G6" s="6">
        <f>$B$3*(1+G4)^G5</f>
        <v>16288.946267774416</v>
      </c>
    </row>
  </sheetData>
  <mergeCells count="1">
    <mergeCell ref="A1:B1"/>
  </mergeCells>
  <phoneticPr fontId="9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5"/>
  <sheetViews>
    <sheetView zoomScaleNormal="100" workbookViewId="0"/>
  </sheetViews>
  <sheetFormatPr defaultColWidth="11.42578125" defaultRowHeight="15.75" x14ac:dyDescent="0.25"/>
  <cols>
    <col min="1" max="1" width="11.42578125" style="30"/>
    <col min="2" max="2" width="16.5703125" style="30" customWidth="1"/>
    <col min="3" max="3" width="17.85546875" style="30" customWidth="1"/>
    <col min="4" max="4" width="20" style="30" customWidth="1"/>
    <col min="5" max="5" width="21.28515625" style="30" customWidth="1"/>
    <col min="6" max="16384" width="11.42578125" style="30"/>
  </cols>
  <sheetData>
    <row r="2" spans="1:4" x14ac:dyDescent="0.25">
      <c r="A2" s="28" t="s">
        <v>44</v>
      </c>
      <c r="B2" s="29" t="s">
        <v>45</v>
      </c>
      <c r="C2" s="29" t="s">
        <v>46</v>
      </c>
      <c r="D2" s="29" t="s">
        <v>47</v>
      </c>
    </row>
    <row r="3" spans="1:4" x14ac:dyDescent="0.25">
      <c r="A3" s="31" t="s">
        <v>48</v>
      </c>
      <c r="B3" s="32">
        <v>50</v>
      </c>
      <c r="C3" s="32">
        <v>45</v>
      </c>
      <c r="D3" s="32">
        <v>20</v>
      </c>
    </row>
    <row r="4" spans="1:4" x14ac:dyDescent="0.25">
      <c r="A4" s="31" t="s">
        <v>49</v>
      </c>
      <c r="B4" s="32">
        <v>30</v>
      </c>
      <c r="C4" s="32">
        <v>15</v>
      </c>
      <c r="D4" s="32">
        <v>55</v>
      </c>
    </row>
    <row r="5" spans="1:4" x14ac:dyDescent="0.25">
      <c r="A5" s="31" t="s">
        <v>50</v>
      </c>
      <c r="B5" s="32">
        <v>20</v>
      </c>
      <c r="C5" s="32">
        <v>40</v>
      </c>
      <c r="D5" s="32">
        <v>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8"/>
  <sheetViews>
    <sheetView zoomScaleNormal="100" workbookViewId="0"/>
  </sheetViews>
  <sheetFormatPr defaultColWidth="11.42578125" defaultRowHeight="15.75" x14ac:dyDescent="0.25"/>
  <cols>
    <col min="1" max="1" width="11.42578125" style="30"/>
    <col min="2" max="2" width="11.5703125" style="30" bestFit="1" customWidth="1"/>
    <col min="3" max="4" width="11.42578125" style="30"/>
    <col min="5" max="5" width="11.5703125" style="30" bestFit="1" customWidth="1"/>
    <col min="6" max="6" width="11.42578125" style="30"/>
    <col min="7" max="7" width="15.85546875" style="30" customWidth="1"/>
    <col min="8" max="8" width="12" style="30" bestFit="1" customWidth="1"/>
    <col min="9" max="9" width="16.7109375" style="30" customWidth="1"/>
    <col min="10" max="16384" width="11.42578125" style="30"/>
  </cols>
  <sheetData>
    <row r="2" spans="2:9" x14ac:dyDescent="0.25">
      <c r="B2" s="33" t="s">
        <v>51</v>
      </c>
      <c r="C2" s="34" t="s">
        <v>52</v>
      </c>
      <c r="D2" s="34" t="s">
        <v>53</v>
      </c>
      <c r="E2" s="35" t="s">
        <v>39</v>
      </c>
      <c r="F2" s="43"/>
      <c r="G2" s="35" t="s">
        <v>54</v>
      </c>
      <c r="H2" s="44">
        <f>MIN(E3:E17)</f>
        <v>1167</v>
      </c>
      <c r="I2" s="45"/>
    </row>
    <row r="3" spans="2:9" x14ac:dyDescent="0.25">
      <c r="B3" s="37">
        <v>1</v>
      </c>
      <c r="C3" s="38" t="s">
        <v>55</v>
      </c>
      <c r="D3" s="38" t="s">
        <v>56</v>
      </c>
      <c r="E3" s="39">
        <v>2345</v>
      </c>
      <c r="F3" s="43"/>
      <c r="G3" s="35" t="s">
        <v>57</v>
      </c>
      <c r="H3" s="44">
        <f>MAX(E3:E17)</f>
        <v>9887</v>
      </c>
      <c r="I3" s="45"/>
    </row>
    <row r="4" spans="2:9" x14ac:dyDescent="0.25">
      <c r="B4" s="40">
        <v>2</v>
      </c>
      <c r="C4" s="41" t="s">
        <v>58</v>
      </c>
      <c r="D4" s="41" t="s">
        <v>59</v>
      </c>
      <c r="E4" s="42">
        <v>4355</v>
      </c>
      <c r="F4" s="43"/>
      <c r="G4" s="35" t="s">
        <v>60</v>
      </c>
      <c r="H4" s="44">
        <f>AVERAGE(E3:E17)</f>
        <v>4993.0666666666666</v>
      </c>
      <c r="I4" s="45"/>
    </row>
    <row r="5" spans="2:9" x14ac:dyDescent="0.25">
      <c r="B5" s="37">
        <v>3</v>
      </c>
      <c r="C5" s="38" t="s">
        <v>61</v>
      </c>
      <c r="D5" s="38" t="s">
        <v>62</v>
      </c>
      <c r="E5" s="39">
        <v>6543</v>
      </c>
      <c r="F5" s="43"/>
      <c r="G5" s="35" t="s">
        <v>63</v>
      </c>
      <c r="H5" s="44">
        <f>MEDIAN(E3:E17)</f>
        <v>4355</v>
      </c>
      <c r="I5" s="45"/>
    </row>
    <row r="6" spans="2:9" x14ac:dyDescent="0.25">
      <c r="B6" s="40">
        <v>4</v>
      </c>
      <c r="C6" s="41" t="s">
        <v>64</v>
      </c>
      <c r="D6" s="41" t="s">
        <v>65</v>
      </c>
      <c r="E6" s="42">
        <v>2857</v>
      </c>
      <c r="F6" s="43"/>
      <c r="G6" s="43"/>
      <c r="H6" s="43"/>
      <c r="I6" s="45"/>
    </row>
    <row r="7" spans="2:9" x14ac:dyDescent="0.25">
      <c r="B7" s="37">
        <v>5</v>
      </c>
      <c r="C7" s="38" t="s">
        <v>66</v>
      </c>
      <c r="D7" s="38" t="s">
        <v>67</v>
      </c>
      <c r="E7" s="39">
        <v>2113</v>
      </c>
      <c r="F7" s="43"/>
      <c r="G7" s="43"/>
      <c r="H7" s="43"/>
      <c r="I7" s="45"/>
    </row>
    <row r="8" spans="2:9" x14ac:dyDescent="0.25">
      <c r="B8" s="40">
        <v>6</v>
      </c>
      <c r="C8" s="41" t="s">
        <v>68</v>
      </c>
      <c r="D8" s="41" t="s">
        <v>69</v>
      </c>
      <c r="E8" s="42">
        <v>1167</v>
      </c>
      <c r="F8" s="43"/>
      <c r="G8" s="43"/>
      <c r="H8" s="43"/>
      <c r="I8" s="45"/>
    </row>
    <row r="9" spans="2:9" x14ac:dyDescent="0.25">
      <c r="B9" s="37">
        <v>7</v>
      </c>
      <c r="C9" s="38" t="s">
        <v>70</v>
      </c>
      <c r="D9" s="38" t="s">
        <v>71</v>
      </c>
      <c r="E9" s="39">
        <v>9823</v>
      </c>
      <c r="F9" s="43"/>
      <c r="G9" s="43"/>
      <c r="H9" s="43"/>
      <c r="I9" s="45"/>
    </row>
    <row r="10" spans="2:9" x14ac:dyDescent="0.25">
      <c r="B10" s="40">
        <v>8</v>
      </c>
      <c r="C10" s="41" t="s">
        <v>72</v>
      </c>
      <c r="D10" s="41" t="s">
        <v>73</v>
      </c>
      <c r="E10" s="42">
        <v>3421</v>
      </c>
      <c r="F10" s="43"/>
      <c r="G10" s="43"/>
      <c r="H10" s="43"/>
      <c r="I10" s="45"/>
    </row>
    <row r="11" spans="2:9" x14ac:dyDescent="0.25">
      <c r="B11" s="37">
        <v>9</v>
      </c>
      <c r="C11" s="38" t="s">
        <v>74</v>
      </c>
      <c r="D11" s="38" t="s">
        <v>75</v>
      </c>
      <c r="E11" s="39">
        <v>7654</v>
      </c>
      <c r="F11" s="43"/>
      <c r="G11" s="43"/>
      <c r="H11" s="43"/>
      <c r="I11" s="45"/>
    </row>
    <row r="12" spans="2:9" x14ac:dyDescent="0.25">
      <c r="B12" s="40">
        <v>10</v>
      </c>
      <c r="C12" s="41" t="s">
        <v>76</v>
      </c>
      <c r="D12" s="41" t="s">
        <v>77</v>
      </c>
      <c r="E12" s="42">
        <v>2351</v>
      </c>
      <c r="F12" s="43"/>
      <c r="G12" s="43"/>
      <c r="H12" s="43"/>
      <c r="I12" s="45"/>
    </row>
    <row r="13" spans="2:9" x14ac:dyDescent="0.25">
      <c r="B13" s="37">
        <v>11</v>
      </c>
      <c r="C13" s="38" t="s">
        <v>78</v>
      </c>
      <c r="D13" s="38" t="s">
        <v>65</v>
      </c>
      <c r="E13" s="39">
        <v>9567</v>
      </c>
      <c r="F13" s="43"/>
      <c r="G13" s="43"/>
      <c r="H13" s="43"/>
      <c r="I13" s="45"/>
    </row>
    <row r="14" spans="2:9" x14ac:dyDescent="0.25">
      <c r="B14" s="40">
        <v>12</v>
      </c>
      <c r="C14" s="41" t="s">
        <v>79</v>
      </c>
      <c r="D14" s="41" t="s">
        <v>80</v>
      </c>
      <c r="E14" s="42">
        <v>5765</v>
      </c>
      <c r="F14" s="43"/>
      <c r="G14" s="43"/>
      <c r="H14" s="43"/>
      <c r="I14" s="45"/>
    </row>
    <row r="15" spans="2:9" x14ac:dyDescent="0.25">
      <c r="B15" s="37">
        <v>13</v>
      </c>
      <c r="C15" s="38" t="s">
        <v>81</v>
      </c>
      <c r="D15" s="38" t="s">
        <v>82</v>
      </c>
      <c r="E15" s="39">
        <v>4706</v>
      </c>
      <c r="F15" s="43"/>
      <c r="G15" s="43"/>
      <c r="H15" s="43"/>
      <c r="I15" s="45"/>
    </row>
    <row r="16" spans="2:9" x14ac:dyDescent="0.25">
      <c r="B16" s="40">
        <v>14</v>
      </c>
      <c r="C16" s="41" t="s">
        <v>83</v>
      </c>
      <c r="D16" s="41" t="s">
        <v>84</v>
      </c>
      <c r="E16" s="42">
        <v>9887</v>
      </c>
      <c r="F16" s="43"/>
      <c r="G16" s="43"/>
      <c r="H16" s="43"/>
      <c r="I16" s="45"/>
    </row>
    <row r="17" spans="2:9" x14ac:dyDescent="0.25">
      <c r="B17" s="37">
        <v>15</v>
      </c>
      <c r="C17" s="38" t="s">
        <v>85</v>
      </c>
      <c r="D17" s="38" t="s">
        <v>86</v>
      </c>
      <c r="E17" s="39">
        <v>2342</v>
      </c>
      <c r="F17" s="43"/>
      <c r="G17" s="43"/>
      <c r="H17" s="43"/>
      <c r="I17" s="45"/>
    </row>
    <row r="18" spans="2:9" x14ac:dyDescent="0.25">
      <c r="B18" s="36"/>
      <c r="C18" s="36"/>
      <c r="D18" s="36"/>
      <c r="E18" s="36"/>
      <c r="F18" s="36"/>
      <c r="G18" s="36"/>
      <c r="H18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4"/>
  <dimension ref="A1:D103"/>
  <sheetViews>
    <sheetView workbookViewId="0">
      <selection sqref="A1:D1"/>
    </sheetView>
  </sheetViews>
  <sheetFormatPr defaultColWidth="11.5703125" defaultRowHeight="12.75" x14ac:dyDescent="0.2"/>
  <cols>
    <col min="1" max="1" width="11.5703125" style="4" customWidth="1"/>
    <col min="2" max="4" width="11.5703125" style="6" customWidth="1"/>
  </cols>
  <sheetData>
    <row r="1" spans="1:4" ht="15.75" x14ac:dyDescent="0.25">
      <c r="A1" s="60" t="s">
        <v>9</v>
      </c>
      <c r="B1" s="61"/>
      <c r="C1" s="61"/>
      <c r="D1" s="61"/>
    </row>
    <row r="3" spans="1:4" x14ac:dyDescent="0.2">
      <c r="A3" s="5" t="s">
        <v>10</v>
      </c>
      <c r="B3" s="9" t="s">
        <v>0</v>
      </c>
      <c r="C3" s="9" t="s">
        <v>11</v>
      </c>
      <c r="D3" s="9" t="s">
        <v>12</v>
      </c>
    </row>
    <row r="4" spans="1:4" x14ac:dyDescent="0.2">
      <c r="A4" s="8">
        <v>41640</v>
      </c>
      <c r="B4" s="6">
        <v>4315.3701000000001</v>
      </c>
    </row>
    <row r="5" spans="1:4" x14ac:dyDescent="0.2">
      <c r="A5" s="8">
        <v>41641</v>
      </c>
      <c r="B5" s="6">
        <v>4384.8100999999997</v>
      </c>
    </row>
    <row r="6" spans="1:4" x14ac:dyDescent="0.2">
      <c r="A6" s="8">
        <v>41642</v>
      </c>
      <c r="B6" s="6">
        <v>4352.6298999999999</v>
      </c>
    </row>
    <row r="7" spans="1:4" x14ac:dyDescent="0.2">
      <c r="A7" s="8">
        <v>41643</v>
      </c>
      <c r="B7" s="6">
        <v>4391.54</v>
      </c>
    </row>
    <row r="8" spans="1:4" x14ac:dyDescent="0.2">
      <c r="A8" s="8">
        <v>41644</v>
      </c>
      <c r="B8" s="6">
        <v>4347.2299999999996</v>
      </c>
    </row>
    <row r="9" spans="1:4" x14ac:dyDescent="0.2">
      <c r="A9" s="8">
        <v>41645</v>
      </c>
      <c r="B9" s="6">
        <v>4236.9399000000003</v>
      </c>
    </row>
    <row r="10" spans="1:4" x14ac:dyDescent="0.2">
      <c r="A10" s="8">
        <v>41646</v>
      </c>
      <c r="B10" s="6">
        <v>4087.28</v>
      </c>
    </row>
    <row r="11" spans="1:4" x14ac:dyDescent="0.2">
      <c r="A11" s="8">
        <v>41647</v>
      </c>
      <c r="B11" s="6">
        <v>4159.3999000000003</v>
      </c>
    </row>
    <row r="12" spans="1:4" x14ac:dyDescent="0.2">
      <c r="A12" s="8">
        <v>41648</v>
      </c>
      <c r="B12" s="6">
        <v>4190.0801000000001</v>
      </c>
    </row>
    <row r="13" spans="1:4" x14ac:dyDescent="0.2">
      <c r="A13" s="8">
        <v>41649</v>
      </c>
      <c r="B13" s="6">
        <v>4148.3397999999997</v>
      </c>
      <c r="C13" s="6">
        <f>SUM(B4:B13)/10</f>
        <v>4261.3619799999997</v>
      </c>
    </row>
    <row r="14" spans="1:4" x14ac:dyDescent="0.2">
      <c r="A14" s="8">
        <v>41650</v>
      </c>
      <c r="B14" s="6">
        <v>4184.46</v>
      </c>
      <c r="C14" s="6">
        <f t="shared" ref="C14:C77" si="0">SUM(B5:B14)/10</f>
        <v>4248.2709699999996</v>
      </c>
    </row>
    <row r="15" spans="1:4" x14ac:dyDescent="0.2">
      <c r="A15" s="8">
        <v>41651</v>
      </c>
      <c r="B15" s="6">
        <v>4284.9399000000003</v>
      </c>
      <c r="C15" s="6">
        <f t="shared" si="0"/>
        <v>4238.2839499999991</v>
      </c>
    </row>
    <row r="16" spans="1:4" x14ac:dyDescent="0.2">
      <c r="A16" s="8">
        <v>41652</v>
      </c>
      <c r="B16" s="6">
        <v>4307.9102000000003</v>
      </c>
      <c r="C16" s="6">
        <f t="shared" si="0"/>
        <v>4233.8119799999995</v>
      </c>
    </row>
    <row r="17" spans="1:4" x14ac:dyDescent="0.2">
      <c r="A17" s="8">
        <v>41653</v>
      </c>
      <c r="B17" s="6">
        <v>4282.8397999999997</v>
      </c>
      <c r="C17" s="6">
        <f t="shared" si="0"/>
        <v>4222.9419600000001</v>
      </c>
    </row>
    <row r="18" spans="1:4" x14ac:dyDescent="0.2">
      <c r="A18" s="8">
        <v>41654</v>
      </c>
      <c r="B18" s="6">
        <v>4220.25</v>
      </c>
      <c r="C18" s="6">
        <f t="shared" si="0"/>
        <v>4210.2439600000007</v>
      </c>
    </row>
    <row r="19" spans="1:4" x14ac:dyDescent="0.2">
      <c r="A19" s="8">
        <v>41655</v>
      </c>
      <c r="B19" s="6">
        <v>4237.3100999999997</v>
      </c>
      <c r="C19" s="6">
        <f t="shared" si="0"/>
        <v>4210.2809800000014</v>
      </c>
    </row>
    <row r="20" spans="1:4" x14ac:dyDescent="0.2">
      <c r="A20" s="8">
        <v>41656</v>
      </c>
      <c r="B20" s="6">
        <v>4224.7798000000003</v>
      </c>
      <c r="C20" s="6">
        <f t="shared" si="0"/>
        <v>4224.030960000001</v>
      </c>
    </row>
    <row r="21" spans="1:4" x14ac:dyDescent="0.2">
      <c r="A21" s="8">
        <v>41657</v>
      </c>
      <c r="B21" s="6">
        <v>4278.7597999999998</v>
      </c>
      <c r="C21" s="6">
        <f t="shared" si="0"/>
        <v>4235.96695</v>
      </c>
    </row>
    <row r="22" spans="1:4" x14ac:dyDescent="0.2">
      <c r="A22" s="8">
        <v>41658</v>
      </c>
      <c r="B22" s="6">
        <v>4391.0200000000004</v>
      </c>
      <c r="C22" s="6">
        <f t="shared" si="0"/>
        <v>4256.0609400000003</v>
      </c>
    </row>
    <row r="23" spans="1:4" x14ac:dyDescent="0.2">
      <c r="A23" s="8">
        <v>41659</v>
      </c>
      <c r="B23" s="6">
        <v>4419.3798999999999</v>
      </c>
      <c r="C23" s="6">
        <f t="shared" si="0"/>
        <v>4283.1649500000003</v>
      </c>
      <c r="D23" s="6">
        <f>SUM(B4:B23)/20</f>
        <v>4272.263465</v>
      </c>
    </row>
    <row r="24" spans="1:4" x14ac:dyDescent="0.2">
      <c r="A24" s="8">
        <v>41660</v>
      </c>
      <c r="B24" s="6">
        <v>4440.3798999999999</v>
      </c>
      <c r="C24" s="6">
        <f t="shared" si="0"/>
        <v>4308.7569399999993</v>
      </c>
      <c r="D24" s="6">
        <f t="shared" ref="D24:D87" si="1">SUM(B5:B24)/20</f>
        <v>4278.5139550000004</v>
      </c>
    </row>
    <row r="25" spans="1:4" x14ac:dyDescent="0.2">
      <c r="A25" s="8">
        <v>41661</v>
      </c>
      <c r="B25" s="6">
        <v>4522.8100999999997</v>
      </c>
      <c r="C25" s="6">
        <f t="shared" si="0"/>
        <v>4332.54396</v>
      </c>
      <c r="D25" s="6">
        <f t="shared" si="1"/>
        <v>4285.413955</v>
      </c>
    </row>
    <row r="26" spans="1:4" x14ac:dyDescent="0.2">
      <c r="A26" s="8">
        <v>41662</v>
      </c>
      <c r="B26" s="6">
        <v>4532.5200000000004</v>
      </c>
      <c r="C26" s="6">
        <f t="shared" si="0"/>
        <v>4355.0049400000007</v>
      </c>
      <c r="D26" s="6">
        <f t="shared" si="1"/>
        <v>4294.4084600000006</v>
      </c>
    </row>
    <row r="27" spans="1:4" x14ac:dyDescent="0.2">
      <c r="A27" s="8">
        <v>41663</v>
      </c>
      <c r="B27" s="6">
        <v>4486.9502000000002</v>
      </c>
      <c r="C27" s="6">
        <f t="shared" si="0"/>
        <v>4375.4159799999998</v>
      </c>
      <c r="D27" s="6">
        <f t="shared" si="1"/>
        <v>4299.1789700000008</v>
      </c>
    </row>
    <row r="28" spans="1:4" x14ac:dyDescent="0.2">
      <c r="A28" s="8">
        <v>41664</v>
      </c>
      <c r="B28" s="6">
        <v>4548.46</v>
      </c>
      <c r="C28" s="6">
        <f t="shared" si="0"/>
        <v>4408.2369799999997</v>
      </c>
      <c r="D28" s="6">
        <f t="shared" si="1"/>
        <v>4309.2404700000016</v>
      </c>
    </row>
    <row r="29" spans="1:4" x14ac:dyDescent="0.2">
      <c r="A29" s="8">
        <v>41665</v>
      </c>
      <c r="B29" s="6">
        <v>4496.3301000000001</v>
      </c>
      <c r="C29" s="6">
        <f t="shared" si="0"/>
        <v>4434.1389799999997</v>
      </c>
      <c r="D29" s="6">
        <f t="shared" si="1"/>
        <v>4322.2099800000015</v>
      </c>
    </row>
    <row r="30" spans="1:4" x14ac:dyDescent="0.2">
      <c r="A30" s="8">
        <v>41666</v>
      </c>
      <c r="B30" s="6">
        <v>4563.5497999999998</v>
      </c>
      <c r="C30" s="6">
        <f t="shared" si="0"/>
        <v>4468.0159800000001</v>
      </c>
      <c r="D30" s="6">
        <f t="shared" si="1"/>
        <v>4346.0234700000019</v>
      </c>
    </row>
    <row r="31" spans="1:4" x14ac:dyDescent="0.2">
      <c r="A31" s="8">
        <v>41667</v>
      </c>
      <c r="B31" s="6">
        <v>4523.75</v>
      </c>
      <c r="C31" s="6">
        <f t="shared" si="0"/>
        <v>4492.5150000000003</v>
      </c>
      <c r="D31" s="6">
        <f t="shared" si="1"/>
        <v>4364.2409750000015</v>
      </c>
    </row>
    <row r="32" spans="1:4" x14ac:dyDescent="0.2">
      <c r="A32" s="8">
        <v>41668</v>
      </c>
      <c r="B32" s="6">
        <v>4588.4301999999998</v>
      </c>
      <c r="C32" s="6">
        <f t="shared" si="0"/>
        <v>4512.2560199999998</v>
      </c>
      <c r="D32" s="6">
        <f t="shared" si="1"/>
        <v>4384.1584800000001</v>
      </c>
    </row>
    <row r="33" spans="1:4" x14ac:dyDescent="0.2">
      <c r="A33" s="8">
        <v>41669</v>
      </c>
      <c r="B33" s="6">
        <v>4536.8301000000001</v>
      </c>
      <c r="C33" s="6">
        <f t="shared" si="0"/>
        <v>4524.0010400000001</v>
      </c>
      <c r="D33" s="6">
        <f t="shared" si="1"/>
        <v>4403.5829950000007</v>
      </c>
    </row>
    <row r="34" spans="1:4" x14ac:dyDescent="0.2">
      <c r="A34" s="8">
        <v>41670</v>
      </c>
      <c r="B34" s="6">
        <v>4502.4799999999996</v>
      </c>
      <c r="C34" s="6">
        <f t="shared" si="0"/>
        <v>4530.2110499999999</v>
      </c>
      <c r="D34" s="6">
        <f t="shared" si="1"/>
        <v>4419.4839950000005</v>
      </c>
    </row>
    <row r="35" spans="1:4" x14ac:dyDescent="0.2">
      <c r="A35" s="8">
        <v>41671</v>
      </c>
      <c r="B35" s="6">
        <v>4520.6400999999996</v>
      </c>
      <c r="C35" s="6">
        <f t="shared" si="0"/>
        <v>4529.9940499999993</v>
      </c>
      <c r="D35" s="6">
        <f t="shared" si="1"/>
        <v>4431.2690050000001</v>
      </c>
    </row>
    <row r="36" spans="1:4" x14ac:dyDescent="0.2">
      <c r="A36" s="8">
        <v>41672</v>
      </c>
      <c r="B36" s="6">
        <v>4602.3999000000003</v>
      </c>
      <c r="C36" s="6">
        <f t="shared" si="0"/>
        <v>4536.9820399999999</v>
      </c>
      <c r="D36" s="6">
        <f t="shared" si="1"/>
        <v>4445.9934900000007</v>
      </c>
    </row>
    <row r="37" spans="1:4" x14ac:dyDescent="0.2">
      <c r="A37" s="8">
        <v>41673</v>
      </c>
      <c r="B37" s="6">
        <v>4628.8301000000001</v>
      </c>
      <c r="C37" s="6">
        <f t="shared" si="0"/>
        <v>4551.1700299999993</v>
      </c>
      <c r="D37" s="6">
        <f t="shared" si="1"/>
        <v>4463.2930050000014</v>
      </c>
    </row>
    <row r="38" spans="1:4" x14ac:dyDescent="0.2">
      <c r="A38" s="8">
        <v>41674</v>
      </c>
      <c r="B38" s="6">
        <v>4582.3999000000003</v>
      </c>
      <c r="C38" s="6">
        <f t="shared" si="0"/>
        <v>4554.5640199999998</v>
      </c>
      <c r="D38" s="6">
        <f t="shared" si="1"/>
        <v>4481.4005000000016</v>
      </c>
    </row>
    <row r="39" spans="1:4" x14ac:dyDescent="0.2">
      <c r="A39" s="8">
        <v>41675</v>
      </c>
      <c r="B39" s="6">
        <v>4602.6499000000003</v>
      </c>
      <c r="C39" s="6">
        <f t="shared" si="0"/>
        <v>4565.1960000000008</v>
      </c>
      <c r="D39" s="6">
        <f t="shared" si="1"/>
        <v>4499.6674900000016</v>
      </c>
    </row>
    <row r="40" spans="1:4" x14ac:dyDescent="0.2">
      <c r="A40" s="8">
        <v>41676</v>
      </c>
      <c r="B40" s="6">
        <v>4657.54</v>
      </c>
      <c r="C40" s="6">
        <f t="shared" si="0"/>
        <v>4574.5950199999997</v>
      </c>
      <c r="D40" s="6">
        <f t="shared" si="1"/>
        <v>4521.3055000000004</v>
      </c>
    </row>
    <row r="41" spans="1:4" x14ac:dyDescent="0.2">
      <c r="A41" s="8">
        <v>41677</v>
      </c>
      <c r="B41" s="6">
        <v>4599.54</v>
      </c>
      <c r="C41" s="6">
        <f t="shared" si="0"/>
        <v>4582.1740200000004</v>
      </c>
      <c r="D41" s="6">
        <f t="shared" si="1"/>
        <v>4537.3445099999999</v>
      </c>
    </row>
    <row r="42" spans="1:4" x14ac:dyDescent="0.2">
      <c r="A42" s="8">
        <v>41678</v>
      </c>
      <c r="B42" s="6">
        <v>4635.8198000000002</v>
      </c>
      <c r="C42" s="6">
        <f t="shared" si="0"/>
        <v>4586.9129799999992</v>
      </c>
      <c r="D42" s="6">
        <f t="shared" si="1"/>
        <v>4549.584499999999</v>
      </c>
    </row>
    <row r="43" spans="1:4" x14ac:dyDescent="0.2">
      <c r="A43" s="8">
        <v>41679</v>
      </c>
      <c r="B43" s="6">
        <v>4692.0298000000003</v>
      </c>
      <c r="C43" s="6">
        <f t="shared" si="0"/>
        <v>4602.4329499999994</v>
      </c>
      <c r="D43" s="6">
        <f t="shared" si="1"/>
        <v>4563.2169949999989</v>
      </c>
    </row>
    <row r="44" spans="1:4" x14ac:dyDescent="0.2">
      <c r="A44" s="8">
        <v>41680</v>
      </c>
      <c r="B44" s="6">
        <v>4709.8301000000001</v>
      </c>
      <c r="C44" s="6">
        <f t="shared" si="0"/>
        <v>4623.1679599999998</v>
      </c>
      <c r="D44" s="6">
        <f t="shared" si="1"/>
        <v>4576.6895049999994</v>
      </c>
    </row>
    <row r="45" spans="1:4" x14ac:dyDescent="0.2">
      <c r="A45" s="8">
        <v>41681</v>
      </c>
      <c r="B45" s="6">
        <v>4736.7402000000002</v>
      </c>
      <c r="C45" s="6">
        <f t="shared" si="0"/>
        <v>4644.777970000001</v>
      </c>
      <c r="D45" s="6">
        <f t="shared" si="1"/>
        <v>4587.3860099999993</v>
      </c>
    </row>
    <row r="46" spans="1:4" x14ac:dyDescent="0.2">
      <c r="A46" s="8">
        <v>41682</v>
      </c>
      <c r="B46" s="6">
        <v>4757.1400999999996</v>
      </c>
      <c r="C46" s="6">
        <f t="shared" si="0"/>
        <v>4660.2519899999998</v>
      </c>
      <c r="D46" s="6">
        <f t="shared" si="1"/>
        <v>4598.6170150000007</v>
      </c>
    </row>
    <row r="47" spans="1:4" x14ac:dyDescent="0.2">
      <c r="A47" s="8">
        <v>41683</v>
      </c>
      <c r="B47" s="6">
        <v>4709.5801000000001</v>
      </c>
      <c r="C47" s="6">
        <f t="shared" si="0"/>
        <v>4668.3269899999996</v>
      </c>
      <c r="D47" s="6">
        <f t="shared" si="1"/>
        <v>4609.7485100000004</v>
      </c>
    </row>
    <row r="48" spans="1:4" x14ac:dyDescent="0.2">
      <c r="A48" s="8">
        <v>41684</v>
      </c>
      <c r="B48" s="6">
        <v>4623.3999000000003</v>
      </c>
      <c r="C48" s="6">
        <f t="shared" si="0"/>
        <v>4672.4269899999999</v>
      </c>
      <c r="D48" s="6">
        <f t="shared" si="1"/>
        <v>4613.4955050000008</v>
      </c>
    </row>
    <row r="49" spans="1:4" x14ac:dyDescent="0.2">
      <c r="A49" s="8">
        <v>41685</v>
      </c>
      <c r="B49" s="6">
        <v>4715.9502000000002</v>
      </c>
      <c r="C49" s="6">
        <f t="shared" si="0"/>
        <v>4683.7570199999991</v>
      </c>
      <c r="D49" s="6">
        <f t="shared" si="1"/>
        <v>4624.4765100000022</v>
      </c>
    </row>
    <row r="50" spans="1:4" x14ac:dyDescent="0.2">
      <c r="A50" s="8">
        <v>41686</v>
      </c>
      <c r="B50" s="6">
        <v>4780.8301000000001</v>
      </c>
      <c r="C50" s="6">
        <f t="shared" si="0"/>
        <v>4696.0860300000004</v>
      </c>
      <c r="D50" s="6">
        <f t="shared" si="1"/>
        <v>4635.3405250000014</v>
      </c>
    </row>
    <row r="51" spans="1:4" x14ac:dyDescent="0.2">
      <c r="A51" s="8">
        <v>41687</v>
      </c>
      <c r="B51" s="6">
        <v>4834.4301999999998</v>
      </c>
      <c r="C51" s="6">
        <f t="shared" si="0"/>
        <v>4719.5750500000004</v>
      </c>
      <c r="D51" s="6">
        <f t="shared" si="1"/>
        <v>4650.8745350000008</v>
      </c>
    </row>
    <row r="52" spans="1:4" x14ac:dyDescent="0.2">
      <c r="A52" s="8">
        <v>41688</v>
      </c>
      <c r="B52" s="6">
        <v>4832.7597999999998</v>
      </c>
      <c r="C52" s="6">
        <f t="shared" si="0"/>
        <v>4739.2690500000008</v>
      </c>
      <c r="D52" s="6">
        <f t="shared" si="1"/>
        <v>4663.0910150000009</v>
      </c>
    </row>
    <row r="53" spans="1:4" x14ac:dyDescent="0.2">
      <c r="A53" s="8">
        <v>41689</v>
      </c>
      <c r="B53" s="6">
        <v>4839.6000999999997</v>
      </c>
      <c r="C53" s="6">
        <f t="shared" si="0"/>
        <v>4754.0260800000005</v>
      </c>
      <c r="D53" s="6">
        <f t="shared" si="1"/>
        <v>4678.229515</v>
      </c>
    </row>
    <row r="54" spans="1:4" x14ac:dyDescent="0.2">
      <c r="A54" s="8">
        <v>41690</v>
      </c>
      <c r="B54" s="6">
        <v>4889.6499000000003</v>
      </c>
      <c r="C54" s="6">
        <f t="shared" si="0"/>
        <v>4772.0080600000001</v>
      </c>
      <c r="D54" s="6">
        <f t="shared" si="1"/>
        <v>4697.5880100000004</v>
      </c>
    </row>
    <row r="55" spans="1:4" x14ac:dyDescent="0.2">
      <c r="A55" s="8">
        <v>41691</v>
      </c>
      <c r="B55" s="6">
        <v>4883.8500999999997</v>
      </c>
      <c r="C55" s="6">
        <f t="shared" si="0"/>
        <v>4786.7190499999997</v>
      </c>
      <c r="D55" s="6">
        <f t="shared" si="1"/>
        <v>4715.7485099999994</v>
      </c>
    </row>
    <row r="56" spans="1:4" x14ac:dyDescent="0.2">
      <c r="A56" s="8">
        <v>41692</v>
      </c>
      <c r="B56" s="6">
        <v>4946.6801999999998</v>
      </c>
      <c r="C56" s="6">
        <f t="shared" si="0"/>
        <v>4805.6730599999992</v>
      </c>
      <c r="D56" s="6">
        <f t="shared" si="1"/>
        <v>4732.9625249999999</v>
      </c>
    </row>
    <row r="57" spans="1:4" x14ac:dyDescent="0.2">
      <c r="A57" s="8">
        <v>41693</v>
      </c>
      <c r="B57" s="6">
        <v>4919.7201999999997</v>
      </c>
      <c r="C57" s="6">
        <f t="shared" si="0"/>
        <v>4826.6870699999999</v>
      </c>
      <c r="D57" s="6">
        <f t="shared" si="1"/>
        <v>4747.5070299999998</v>
      </c>
    </row>
    <row r="58" spans="1:4" x14ac:dyDescent="0.2">
      <c r="A58" s="8">
        <v>41694</v>
      </c>
      <c r="B58" s="6">
        <v>4936.3198000000002</v>
      </c>
      <c r="C58" s="6">
        <f t="shared" si="0"/>
        <v>4857.9790599999997</v>
      </c>
      <c r="D58" s="6">
        <f t="shared" si="1"/>
        <v>4765.2030249999998</v>
      </c>
    </row>
    <row r="59" spans="1:4" x14ac:dyDescent="0.2">
      <c r="A59" s="8">
        <v>41695</v>
      </c>
      <c r="B59" s="6">
        <v>5001.5497999999998</v>
      </c>
      <c r="C59" s="6">
        <f t="shared" si="0"/>
        <v>4886.5390200000002</v>
      </c>
      <c r="D59" s="6">
        <f t="shared" si="1"/>
        <v>4785.1480199999987</v>
      </c>
    </row>
    <row r="60" spans="1:4" x14ac:dyDescent="0.2">
      <c r="A60" s="8">
        <v>41696</v>
      </c>
      <c r="B60" s="6">
        <v>4971.3198000000002</v>
      </c>
      <c r="C60" s="6">
        <f t="shared" si="0"/>
        <v>4905.5879899999991</v>
      </c>
      <c r="D60" s="6">
        <f t="shared" si="1"/>
        <v>4800.8370099999993</v>
      </c>
    </row>
    <row r="61" spans="1:4" x14ac:dyDescent="0.2">
      <c r="A61" s="8">
        <v>41697</v>
      </c>
      <c r="B61" s="6">
        <v>5028.2402000000002</v>
      </c>
      <c r="C61" s="6">
        <f t="shared" si="0"/>
        <v>4924.9689899999994</v>
      </c>
      <c r="D61" s="6">
        <f t="shared" si="1"/>
        <v>4822.2720199999994</v>
      </c>
    </row>
    <row r="62" spans="1:4" x14ac:dyDescent="0.2">
      <c r="A62" s="8">
        <v>41698</v>
      </c>
      <c r="B62" s="6">
        <v>5096.6201000000001</v>
      </c>
      <c r="C62" s="6">
        <f t="shared" si="0"/>
        <v>4951.35502</v>
      </c>
      <c r="D62" s="6">
        <f t="shared" si="1"/>
        <v>4845.3120349999999</v>
      </c>
    </row>
    <row r="63" spans="1:4" x14ac:dyDescent="0.2">
      <c r="A63" s="8">
        <v>41699</v>
      </c>
      <c r="B63" s="6">
        <v>5039.7597999999998</v>
      </c>
      <c r="C63" s="6">
        <f t="shared" si="0"/>
        <v>4971.3709900000003</v>
      </c>
      <c r="D63" s="6">
        <f t="shared" si="1"/>
        <v>4862.6985349999995</v>
      </c>
    </row>
    <row r="64" spans="1:4" x14ac:dyDescent="0.2">
      <c r="A64" s="8">
        <v>41700</v>
      </c>
      <c r="B64" s="6">
        <v>5083.1602000000003</v>
      </c>
      <c r="C64" s="6">
        <f t="shared" si="0"/>
        <v>4990.7220199999992</v>
      </c>
      <c r="D64" s="6">
        <f t="shared" si="1"/>
        <v>4881.3650399999988</v>
      </c>
    </row>
    <row r="65" spans="1:4" x14ac:dyDescent="0.2">
      <c r="A65" s="8">
        <v>41701</v>
      </c>
      <c r="B65" s="6">
        <v>5009.7597999999998</v>
      </c>
      <c r="C65" s="6">
        <f t="shared" si="0"/>
        <v>5003.3129900000004</v>
      </c>
      <c r="D65" s="6">
        <f t="shared" si="1"/>
        <v>4895.0160199999991</v>
      </c>
    </row>
    <row r="66" spans="1:4" x14ac:dyDescent="0.2">
      <c r="A66" s="8">
        <v>41702</v>
      </c>
      <c r="B66" s="6">
        <v>5102.3500999999997</v>
      </c>
      <c r="C66" s="6">
        <f t="shared" si="0"/>
        <v>5018.8799799999997</v>
      </c>
      <c r="D66" s="6">
        <f t="shared" si="1"/>
        <v>4912.2765199999994</v>
      </c>
    </row>
    <row r="67" spans="1:4" x14ac:dyDescent="0.2">
      <c r="A67" s="8">
        <v>41703</v>
      </c>
      <c r="B67" s="6">
        <v>5154.21</v>
      </c>
      <c r="C67" s="6">
        <f t="shared" si="0"/>
        <v>5042.3289599999998</v>
      </c>
      <c r="D67" s="6">
        <f t="shared" si="1"/>
        <v>4934.5080150000003</v>
      </c>
    </row>
    <row r="68" spans="1:4" x14ac:dyDescent="0.2">
      <c r="A68" s="8">
        <v>41704</v>
      </c>
      <c r="B68" s="6">
        <v>5176.6602000000003</v>
      </c>
      <c r="C68" s="6">
        <f t="shared" si="0"/>
        <v>5066.3629999999994</v>
      </c>
      <c r="D68" s="6">
        <f t="shared" si="1"/>
        <v>4962.1710299999995</v>
      </c>
    </row>
    <row r="69" spans="1:4" x14ac:dyDescent="0.2">
      <c r="A69" s="8">
        <v>41705</v>
      </c>
      <c r="B69" s="6">
        <v>5223.5200000000004</v>
      </c>
      <c r="C69" s="6">
        <f t="shared" si="0"/>
        <v>5088.5600199999999</v>
      </c>
      <c r="D69" s="6">
        <f t="shared" si="1"/>
        <v>4987.5495199999996</v>
      </c>
    </row>
    <row r="70" spans="1:4" x14ac:dyDescent="0.2">
      <c r="A70" s="8">
        <v>41706</v>
      </c>
      <c r="B70" s="6">
        <v>5271.6499000000003</v>
      </c>
      <c r="C70" s="6">
        <f t="shared" si="0"/>
        <v>5118.5930300000009</v>
      </c>
      <c r="D70" s="6">
        <f t="shared" si="1"/>
        <v>5012.09051</v>
      </c>
    </row>
    <row r="71" spans="1:4" x14ac:dyDescent="0.2">
      <c r="A71" s="8">
        <v>41707</v>
      </c>
      <c r="B71" s="6">
        <v>5357.0497999999998</v>
      </c>
      <c r="C71" s="6">
        <f t="shared" si="0"/>
        <v>5151.4739900000004</v>
      </c>
      <c r="D71" s="6">
        <f t="shared" si="1"/>
        <v>5038.2214899999999</v>
      </c>
    </row>
    <row r="72" spans="1:4" x14ac:dyDescent="0.2">
      <c r="A72" s="8">
        <v>41708</v>
      </c>
      <c r="B72" s="6">
        <v>5269.46</v>
      </c>
      <c r="C72" s="6">
        <f t="shared" si="0"/>
        <v>5168.7579800000003</v>
      </c>
      <c r="D72" s="6">
        <f t="shared" si="1"/>
        <v>5060.0565000000006</v>
      </c>
    </row>
    <row r="73" spans="1:4" x14ac:dyDescent="0.2">
      <c r="A73" s="8">
        <v>41709</v>
      </c>
      <c r="B73" s="6">
        <v>5317.2201999999997</v>
      </c>
      <c r="C73" s="6">
        <f t="shared" si="0"/>
        <v>5196.5040200000003</v>
      </c>
      <c r="D73" s="6">
        <f t="shared" si="1"/>
        <v>5083.9375049999999</v>
      </c>
    </row>
    <row r="74" spans="1:4" x14ac:dyDescent="0.2">
      <c r="A74" s="8">
        <v>41710</v>
      </c>
      <c r="B74" s="6">
        <v>5317.2201999999997</v>
      </c>
      <c r="C74" s="6">
        <f t="shared" si="0"/>
        <v>5219.9100200000003</v>
      </c>
      <c r="D74" s="6">
        <f t="shared" si="1"/>
        <v>5105.3160200000002</v>
      </c>
    </row>
    <row r="75" spans="1:4" x14ac:dyDescent="0.2">
      <c r="A75" s="8">
        <v>41711</v>
      </c>
      <c r="B75" s="6">
        <v>5317.2201999999997</v>
      </c>
      <c r="C75" s="6">
        <f t="shared" si="0"/>
        <v>5250.6560599999993</v>
      </c>
      <c r="D75" s="6">
        <f t="shared" si="1"/>
        <v>5126.9845249999989</v>
      </c>
    </row>
    <row r="76" spans="1:4" x14ac:dyDescent="0.2">
      <c r="A76" s="8">
        <v>41712</v>
      </c>
      <c r="B76" s="6">
        <v>5374.7798000000003</v>
      </c>
      <c r="C76" s="6">
        <f t="shared" si="0"/>
        <v>5277.8990300000005</v>
      </c>
      <c r="D76" s="6">
        <f t="shared" si="1"/>
        <v>5148.3895049999992</v>
      </c>
    </row>
    <row r="77" spans="1:4" x14ac:dyDescent="0.2">
      <c r="A77" s="8">
        <v>41713</v>
      </c>
      <c r="B77" s="6">
        <v>5388.4701999999997</v>
      </c>
      <c r="C77" s="6">
        <f t="shared" si="0"/>
        <v>5301.3250499999995</v>
      </c>
      <c r="D77" s="6">
        <f t="shared" si="1"/>
        <v>5171.8270049999992</v>
      </c>
    </row>
    <row r="78" spans="1:4" x14ac:dyDescent="0.2">
      <c r="A78" s="8">
        <v>41714</v>
      </c>
      <c r="B78" s="6">
        <v>5324.1400999999996</v>
      </c>
      <c r="C78" s="6">
        <f t="shared" ref="C78:C103" si="2">SUM(B69:B78)/10</f>
        <v>5316.0730399999993</v>
      </c>
      <c r="D78" s="6">
        <f t="shared" si="1"/>
        <v>5191.2180199999993</v>
      </c>
    </row>
    <row r="79" spans="1:4" x14ac:dyDescent="0.2">
      <c r="A79" s="8">
        <v>41715</v>
      </c>
      <c r="B79" s="6">
        <v>5268.75</v>
      </c>
      <c r="C79" s="6">
        <f t="shared" si="2"/>
        <v>5320.5960399999985</v>
      </c>
      <c r="D79" s="6">
        <f t="shared" si="1"/>
        <v>5204.5780299999997</v>
      </c>
    </row>
    <row r="80" spans="1:4" x14ac:dyDescent="0.2">
      <c r="A80" s="8">
        <v>41716</v>
      </c>
      <c r="B80" s="6">
        <v>5442</v>
      </c>
      <c r="C80" s="6">
        <f t="shared" si="2"/>
        <v>5337.63105</v>
      </c>
      <c r="D80" s="6">
        <f t="shared" si="1"/>
        <v>5228.11204</v>
      </c>
    </row>
    <row r="81" spans="1:4" x14ac:dyDescent="0.2">
      <c r="A81" s="8">
        <v>41717</v>
      </c>
      <c r="B81" s="6">
        <v>5388.9399000000003</v>
      </c>
      <c r="C81" s="6">
        <f t="shared" si="2"/>
        <v>5340.82006</v>
      </c>
      <c r="D81" s="6">
        <f t="shared" si="1"/>
        <v>5246.1470250000002</v>
      </c>
    </row>
    <row r="82" spans="1:4" x14ac:dyDescent="0.2">
      <c r="A82" s="8">
        <v>41718</v>
      </c>
      <c r="B82" s="6">
        <v>5360.6499000000003</v>
      </c>
      <c r="C82" s="6">
        <f t="shared" si="2"/>
        <v>5349.939049999999</v>
      </c>
      <c r="D82" s="6">
        <f t="shared" si="1"/>
        <v>5259.3485149999997</v>
      </c>
    </row>
    <row r="83" spans="1:4" x14ac:dyDescent="0.2">
      <c r="A83" s="8">
        <v>41719</v>
      </c>
      <c r="B83" s="6">
        <v>5251.46</v>
      </c>
      <c r="C83" s="6">
        <f t="shared" si="2"/>
        <v>5343.3630299999995</v>
      </c>
      <c r="D83" s="6">
        <f t="shared" si="1"/>
        <v>5269.9335250000004</v>
      </c>
    </row>
    <row r="84" spans="1:4" x14ac:dyDescent="0.2">
      <c r="A84" s="8">
        <v>41720</v>
      </c>
      <c r="B84" s="6">
        <v>5144.2798000000003</v>
      </c>
      <c r="C84" s="6">
        <f t="shared" si="2"/>
        <v>5326.0689899999998</v>
      </c>
      <c r="D84" s="6">
        <f t="shared" si="1"/>
        <v>5272.9895050000005</v>
      </c>
    </row>
    <row r="85" spans="1:4" x14ac:dyDescent="0.2">
      <c r="A85" s="8">
        <v>41721</v>
      </c>
      <c r="B85" s="6">
        <v>5088.1298999999999</v>
      </c>
      <c r="C85" s="6">
        <f t="shared" si="2"/>
        <v>5303.15996</v>
      </c>
      <c r="D85" s="6">
        <f t="shared" si="1"/>
        <v>5276.908010000001</v>
      </c>
    </row>
    <row r="86" spans="1:4" x14ac:dyDescent="0.2">
      <c r="A86" s="8">
        <v>41722</v>
      </c>
      <c r="B86" s="6">
        <v>5018.6698999999999</v>
      </c>
      <c r="C86" s="6">
        <f t="shared" si="2"/>
        <v>5267.5489699999998</v>
      </c>
      <c r="D86" s="6">
        <f t="shared" si="1"/>
        <v>5272.7240000000002</v>
      </c>
    </row>
    <row r="87" spans="1:4" x14ac:dyDescent="0.2">
      <c r="A87" s="8">
        <v>41723</v>
      </c>
      <c r="B87" s="6">
        <v>5108.4799999999996</v>
      </c>
      <c r="C87" s="6">
        <f t="shared" si="2"/>
        <v>5239.5499500000005</v>
      </c>
      <c r="D87" s="6">
        <f t="shared" si="1"/>
        <v>5270.4374999999991</v>
      </c>
    </row>
    <row r="88" spans="1:4" x14ac:dyDescent="0.2">
      <c r="A88" s="8">
        <v>41724</v>
      </c>
      <c r="B88" s="6">
        <v>5107.4399000000003</v>
      </c>
      <c r="C88" s="6">
        <f t="shared" si="2"/>
        <v>5217.8799300000001</v>
      </c>
      <c r="D88" s="6">
        <f t="shared" ref="D88:D103" si="3">SUM(B69:B88)/20</f>
        <v>5266.9764850000001</v>
      </c>
    </row>
    <row r="89" spans="1:4" x14ac:dyDescent="0.2">
      <c r="A89" s="8">
        <v>41725</v>
      </c>
      <c r="B89" s="6">
        <v>5107.4399000000003</v>
      </c>
      <c r="C89" s="6">
        <f t="shared" si="2"/>
        <v>5201.74892</v>
      </c>
      <c r="D89" s="6">
        <f t="shared" si="3"/>
        <v>5261.1724799999993</v>
      </c>
    </row>
    <row r="90" spans="1:4" x14ac:dyDescent="0.2">
      <c r="A90" s="8">
        <v>41726</v>
      </c>
      <c r="B90" s="6">
        <v>5314.6602000000003</v>
      </c>
      <c r="C90" s="6">
        <f t="shared" si="2"/>
        <v>5189.0149399999991</v>
      </c>
      <c r="D90" s="6">
        <f t="shared" si="3"/>
        <v>5263.3229949999995</v>
      </c>
    </row>
    <row r="91" spans="1:4" x14ac:dyDescent="0.2">
      <c r="A91" s="8">
        <v>41727</v>
      </c>
      <c r="B91" s="6">
        <v>5232.0298000000003</v>
      </c>
      <c r="C91" s="6">
        <f t="shared" si="2"/>
        <v>5173.3239300000005</v>
      </c>
      <c r="D91" s="6">
        <f t="shared" si="3"/>
        <v>5257.0719949999993</v>
      </c>
    </row>
    <row r="92" spans="1:4" x14ac:dyDescent="0.2">
      <c r="A92" s="8">
        <v>41728</v>
      </c>
      <c r="B92" s="6">
        <v>5229.7997999999998</v>
      </c>
      <c r="C92" s="6">
        <f t="shared" si="2"/>
        <v>5160.2389199999998</v>
      </c>
      <c r="D92" s="6">
        <f t="shared" si="3"/>
        <v>5255.0889849999985</v>
      </c>
    </row>
    <row r="93" spans="1:4" x14ac:dyDescent="0.2">
      <c r="A93" s="8">
        <v>41729</v>
      </c>
      <c r="B93" s="6">
        <v>5186.2299999999996</v>
      </c>
      <c r="C93" s="6">
        <f t="shared" si="2"/>
        <v>5153.7159200000006</v>
      </c>
      <c r="D93" s="6">
        <f t="shared" si="3"/>
        <v>5248.5394749999987</v>
      </c>
    </row>
    <row r="94" spans="1:4" x14ac:dyDescent="0.2">
      <c r="A94" s="8">
        <v>41730</v>
      </c>
      <c r="B94" s="6">
        <v>5257.5801000000001</v>
      </c>
      <c r="C94" s="6">
        <f t="shared" si="2"/>
        <v>5165.0459500000006</v>
      </c>
      <c r="D94" s="6">
        <f t="shared" si="3"/>
        <v>5245.5574699999997</v>
      </c>
    </row>
    <row r="95" spans="1:4" x14ac:dyDescent="0.2">
      <c r="A95" s="8">
        <v>41731</v>
      </c>
      <c r="B95" s="6">
        <v>5341.6899000000003</v>
      </c>
      <c r="C95" s="6">
        <f t="shared" si="2"/>
        <v>5190.4019500000004</v>
      </c>
      <c r="D95" s="6">
        <f t="shared" si="3"/>
        <v>5246.7809550000002</v>
      </c>
    </row>
    <row r="96" spans="1:4" x14ac:dyDescent="0.2">
      <c r="A96" s="8">
        <v>41732</v>
      </c>
      <c r="B96" s="6">
        <v>5297.3500999999997</v>
      </c>
      <c r="C96" s="6">
        <f t="shared" si="2"/>
        <v>5218.2699699999994</v>
      </c>
      <c r="D96" s="6">
        <f t="shared" si="3"/>
        <v>5242.9094699999996</v>
      </c>
    </row>
    <row r="97" spans="1:4" x14ac:dyDescent="0.2">
      <c r="A97" s="8">
        <v>41733</v>
      </c>
      <c r="B97" s="6">
        <v>5376.8798999999999</v>
      </c>
      <c r="C97" s="6">
        <f t="shared" si="2"/>
        <v>5245.1099599999998</v>
      </c>
      <c r="D97" s="6">
        <f t="shared" si="3"/>
        <v>5242.3299549999992</v>
      </c>
    </row>
    <row r="98" spans="1:4" x14ac:dyDescent="0.2">
      <c r="A98" s="8">
        <v>41734</v>
      </c>
      <c r="B98" s="6">
        <v>5361.2201999999997</v>
      </c>
      <c r="C98" s="6">
        <f t="shared" si="2"/>
        <v>5270.4879899999996</v>
      </c>
      <c r="D98" s="6">
        <f t="shared" si="3"/>
        <v>5244.1839599999994</v>
      </c>
    </row>
    <row r="99" spans="1:4" x14ac:dyDescent="0.2">
      <c r="A99" s="8">
        <v>41735</v>
      </c>
      <c r="B99" s="6">
        <v>5393.1400999999996</v>
      </c>
      <c r="C99" s="6">
        <f t="shared" si="2"/>
        <v>5299.0580099999997</v>
      </c>
      <c r="D99" s="6">
        <f t="shared" si="3"/>
        <v>5250.4034649999994</v>
      </c>
    </row>
    <row r="100" spans="1:4" x14ac:dyDescent="0.2">
      <c r="A100" s="8">
        <v>41736</v>
      </c>
      <c r="B100" s="6">
        <v>5342.8500999999997</v>
      </c>
      <c r="C100" s="6">
        <f t="shared" si="2"/>
        <v>5301.8770000000004</v>
      </c>
      <c r="D100" s="6">
        <f t="shared" si="3"/>
        <v>5245.4459699999998</v>
      </c>
    </row>
    <row r="101" spans="1:4" x14ac:dyDescent="0.2">
      <c r="A101" s="8">
        <v>41737</v>
      </c>
      <c r="B101" s="6">
        <v>5388.8999000000003</v>
      </c>
      <c r="C101" s="6">
        <f t="shared" si="2"/>
        <v>5317.5640100000001</v>
      </c>
      <c r="D101" s="6">
        <f t="shared" si="3"/>
        <v>5245.4439700000003</v>
      </c>
    </row>
    <row r="102" spans="1:4" x14ac:dyDescent="0.2">
      <c r="A102" s="8">
        <v>41738</v>
      </c>
      <c r="B102" s="6">
        <v>5510.98</v>
      </c>
      <c r="C102" s="6">
        <f t="shared" si="2"/>
        <v>5345.682029999999</v>
      </c>
      <c r="D102" s="6">
        <f t="shared" si="3"/>
        <v>5252.9604749999999</v>
      </c>
    </row>
    <row r="103" spans="1:4" x14ac:dyDescent="0.2">
      <c r="A103" s="8">
        <v>41739</v>
      </c>
      <c r="B103" s="6">
        <v>5510.98</v>
      </c>
      <c r="C103" s="6">
        <f t="shared" si="2"/>
        <v>5378.1570299999994</v>
      </c>
      <c r="D103" s="6">
        <f t="shared" si="3"/>
        <v>5265.9364750000004</v>
      </c>
    </row>
  </sheetData>
  <mergeCells count="1">
    <mergeCell ref="A1:D1"/>
  </mergeCells>
  <phoneticPr fontId="9" type="noConversion"/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  <ignoredErrors>
    <ignoredError sqref="C13:C103 D23:D10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53"/>
  <sheetViews>
    <sheetView topLeftCell="A25" workbookViewId="0">
      <selection activeCell="F39" sqref="F39:F53"/>
    </sheetView>
  </sheetViews>
  <sheetFormatPr defaultColWidth="11.42578125" defaultRowHeight="14.25" x14ac:dyDescent="0.2"/>
  <cols>
    <col min="1" max="3" width="11.42578125" style="43"/>
    <col min="4" max="4" width="15" style="43" customWidth="1"/>
    <col min="5" max="7" width="11.42578125" style="43"/>
    <col min="8" max="8" width="16.42578125" style="43" customWidth="1"/>
    <col min="9" max="9" width="17.5703125" style="43" customWidth="1"/>
    <col min="10" max="16384" width="11.42578125" style="43"/>
  </cols>
  <sheetData>
    <row r="2" spans="2:13" ht="15" x14ac:dyDescent="0.25">
      <c r="B2" s="33" t="s">
        <v>51</v>
      </c>
      <c r="C2" s="34" t="s">
        <v>52</v>
      </c>
      <c r="D2" s="34" t="s">
        <v>53</v>
      </c>
      <c r="E2" s="35" t="s">
        <v>39</v>
      </c>
      <c r="F2" s="35" t="s">
        <v>87</v>
      </c>
      <c r="H2" s="35" t="s">
        <v>87</v>
      </c>
      <c r="I2" s="35"/>
      <c r="J2" s="35"/>
      <c r="K2" s="35"/>
      <c r="L2" s="35"/>
      <c r="M2" s="35"/>
    </row>
    <row r="3" spans="2:13" ht="15.95" customHeight="1" x14ac:dyDescent="0.25">
      <c r="B3" s="37">
        <v>1</v>
      </c>
      <c r="C3" s="38" t="s">
        <v>55</v>
      </c>
      <c r="D3" s="38" t="s">
        <v>56</v>
      </c>
      <c r="E3" s="39">
        <v>2345</v>
      </c>
      <c r="F3" s="38" t="str">
        <f>IF(E3&gt;3000,"Gold","")</f>
        <v/>
      </c>
      <c r="H3" s="35" t="s">
        <v>88</v>
      </c>
      <c r="I3" s="35"/>
      <c r="J3" s="35"/>
      <c r="K3" s="35"/>
      <c r="L3" s="35"/>
      <c r="M3" s="35"/>
    </row>
    <row r="4" spans="2:13" ht="15" x14ac:dyDescent="0.25">
      <c r="B4" s="40">
        <v>2</v>
      </c>
      <c r="C4" s="41" t="s">
        <v>58</v>
      </c>
      <c r="D4" s="41" t="s">
        <v>59</v>
      </c>
      <c r="E4" s="42">
        <v>4355</v>
      </c>
      <c r="F4" s="38" t="str">
        <f t="shared" ref="F4:F17" si="0">IF(E4&gt;3000,"Gold","")</f>
        <v>Gold</v>
      </c>
      <c r="H4" s="35"/>
      <c r="I4" s="35"/>
      <c r="J4" s="35"/>
      <c r="K4" s="35"/>
      <c r="L4" s="35"/>
      <c r="M4" s="35"/>
    </row>
    <row r="5" spans="2:13" x14ac:dyDescent="0.2">
      <c r="B5" s="37">
        <v>3</v>
      </c>
      <c r="C5" s="38" t="s">
        <v>61</v>
      </c>
      <c r="D5" s="38" t="s">
        <v>62</v>
      </c>
      <c r="E5" s="39">
        <v>6543</v>
      </c>
      <c r="F5" s="38" t="str">
        <f t="shared" si="0"/>
        <v>Gold</v>
      </c>
    </row>
    <row r="6" spans="2:13" x14ac:dyDescent="0.2">
      <c r="B6" s="40">
        <v>4</v>
      </c>
      <c r="C6" s="41" t="s">
        <v>64</v>
      </c>
      <c r="D6" s="41" t="s">
        <v>65</v>
      </c>
      <c r="E6" s="42">
        <v>2857</v>
      </c>
      <c r="F6" s="38" t="str">
        <f t="shared" si="0"/>
        <v/>
      </c>
    </row>
    <row r="7" spans="2:13" x14ac:dyDescent="0.2">
      <c r="B7" s="37">
        <v>5</v>
      </c>
      <c r="C7" s="38" t="s">
        <v>66</v>
      </c>
      <c r="D7" s="38" t="s">
        <v>67</v>
      </c>
      <c r="E7" s="39">
        <v>2113</v>
      </c>
      <c r="F7" s="38" t="str">
        <f t="shared" si="0"/>
        <v/>
      </c>
    </row>
    <row r="8" spans="2:13" x14ac:dyDescent="0.2">
      <c r="B8" s="40">
        <v>6</v>
      </c>
      <c r="C8" s="41" t="s">
        <v>68</v>
      </c>
      <c r="D8" s="41" t="s">
        <v>69</v>
      </c>
      <c r="E8" s="42">
        <v>1167</v>
      </c>
      <c r="F8" s="38" t="str">
        <f t="shared" si="0"/>
        <v/>
      </c>
    </row>
    <row r="9" spans="2:13" x14ac:dyDescent="0.2">
      <c r="B9" s="37">
        <v>7</v>
      </c>
      <c r="C9" s="38" t="s">
        <v>70</v>
      </c>
      <c r="D9" s="38" t="s">
        <v>71</v>
      </c>
      <c r="E9" s="39">
        <v>9823</v>
      </c>
      <c r="F9" s="38" t="str">
        <f t="shared" si="0"/>
        <v>Gold</v>
      </c>
    </row>
    <row r="10" spans="2:13" x14ac:dyDescent="0.2">
      <c r="B10" s="40">
        <v>8</v>
      </c>
      <c r="C10" s="41" t="s">
        <v>72</v>
      </c>
      <c r="D10" s="41" t="s">
        <v>73</v>
      </c>
      <c r="E10" s="42">
        <v>3421</v>
      </c>
      <c r="F10" s="38" t="str">
        <f t="shared" si="0"/>
        <v>Gold</v>
      </c>
    </row>
    <row r="11" spans="2:13" x14ac:dyDescent="0.2">
      <c r="B11" s="37">
        <v>9</v>
      </c>
      <c r="C11" s="38" t="s">
        <v>74</v>
      </c>
      <c r="D11" s="38" t="s">
        <v>75</v>
      </c>
      <c r="E11" s="39">
        <v>7654</v>
      </c>
      <c r="F11" s="38" t="str">
        <f t="shared" si="0"/>
        <v>Gold</v>
      </c>
    </row>
    <row r="12" spans="2:13" x14ac:dyDescent="0.2">
      <c r="B12" s="40">
        <v>10</v>
      </c>
      <c r="C12" s="41" t="s">
        <v>76</v>
      </c>
      <c r="D12" s="41" t="s">
        <v>77</v>
      </c>
      <c r="E12" s="42">
        <v>2351</v>
      </c>
      <c r="F12" s="38" t="str">
        <f t="shared" si="0"/>
        <v/>
      </c>
    </row>
    <row r="13" spans="2:13" x14ac:dyDescent="0.2">
      <c r="B13" s="37">
        <v>11</v>
      </c>
      <c r="C13" s="38" t="s">
        <v>78</v>
      </c>
      <c r="D13" s="38" t="s">
        <v>65</v>
      </c>
      <c r="E13" s="39">
        <v>9567</v>
      </c>
      <c r="F13" s="38" t="str">
        <f t="shared" si="0"/>
        <v>Gold</v>
      </c>
    </row>
    <row r="14" spans="2:13" x14ac:dyDescent="0.2">
      <c r="B14" s="40">
        <v>12</v>
      </c>
      <c r="C14" s="41" t="s">
        <v>79</v>
      </c>
      <c r="D14" s="41" t="s">
        <v>80</v>
      </c>
      <c r="E14" s="42">
        <v>5765</v>
      </c>
      <c r="F14" s="38" t="str">
        <f t="shared" si="0"/>
        <v>Gold</v>
      </c>
    </row>
    <row r="15" spans="2:13" x14ac:dyDescent="0.2">
      <c r="B15" s="37">
        <v>13</v>
      </c>
      <c r="C15" s="38" t="s">
        <v>81</v>
      </c>
      <c r="D15" s="38" t="s">
        <v>82</v>
      </c>
      <c r="E15" s="39">
        <v>4706</v>
      </c>
      <c r="F15" s="38" t="str">
        <f t="shared" si="0"/>
        <v>Gold</v>
      </c>
    </row>
    <row r="16" spans="2:13" x14ac:dyDescent="0.2">
      <c r="B16" s="40">
        <v>14</v>
      </c>
      <c r="C16" s="41" t="s">
        <v>83</v>
      </c>
      <c r="D16" s="41" t="s">
        <v>84</v>
      </c>
      <c r="E16" s="42">
        <v>9887</v>
      </c>
      <c r="F16" s="38" t="str">
        <f t="shared" si="0"/>
        <v>Gold</v>
      </c>
    </row>
    <row r="17" spans="2:13" x14ac:dyDescent="0.2">
      <c r="B17" s="37">
        <v>15</v>
      </c>
      <c r="C17" s="38" t="s">
        <v>85</v>
      </c>
      <c r="D17" s="38" t="s">
        <v>86</v>
      </c>
      <c r="E17" s="39">
        <v>2342</v>
      </c>
      <c r="F17" s="38" t="str">
        <f t="shared" si="0"/>
        <v/>
      </c>
    </row>
    <row r="18" spans="2:13" x14ac:dyDescent="0.2">
      <c r="B18" s="46"/>
      <c r="C18" s="46"/>
      <c r="D18" s="46"/>
      <c r="E18" s="46"/>
      <c r="F18" s="46"/>
      <c r="G18" s="46"/>
      <c r="H18" s="46"/>
      <c r="I18" s="46"/>
      <c r="J18" s="46"/>
      <c r="K18" s="46"/>
    </row>
    <row r="20" spans="2:13" ht="15" x14ac:dyDescent="0.25">
      <c r="B20" s="33" t="s">
        <v>51</v>
      </c>
      <c r="C20" s="34" t="s">
        <v>52</v>
      </c>
      <c r="D20" s="34" t="s">
        <v>53</v>
      </c>
      <c r="E20" s="35" t="s">
        <v>39</v>
      </c>
      <c r="F20" s="35" t="s">
        <v>87</v>
      </c>
      <c r="H20" s="35" t="s">
        <v>87</v>
      </c>
      <c r="I20" s="35"/>
      <c r="J20" s="35"/>
      <c r="K20" s="35"/>
      <c r="L20" s="35"/>
      <c r="M20" s="35"/>
    </row>
    <row r="21" spans="2:13" ht="15" x14ac:dyDescent="0.25">
      <c r="B21" s="37">
        <v>1</v>
      </c>
      <c r="C21" s="38" t="s">
        <v>55</v>
      </c>
      <c r="D21" s="38" t="s">
        <v>56</v>
      </c>
      <c r="E21" s="39">
        <v>2345</v>
      </c>
      <c r="F21" s="38" t="str">
        <f>IF(E21&lt;=3000,"Bronze",IF(E21&gt;5000,"Platinum","Gold"))</f>
        <v>Bronze</v>
      </c>
      <c r="H21" s="35" t="s">
        <v>89</v>
      </c>
      <c r="I21" s="35"/>
      <c r="J21" s="35"/>
      <c r="K21" s="35"/>
      <c r="L21" s="35"/>
      <c r="M21" s="35"/>
    </row>
    <row r="22" spans="2:13" ht="15" x14ac:dyDescent="0.25">
      <c r="B22" s="40">
        <v>2</v>
      </c>
      <c r="C22" s="41" t="s">
        <v>58</v>
      </c>
      <c r="D22" s="41" t="s">
        <v>59</v>
      </c>
      <c r="E22" s="42">
        <v>4355</v>
      </c>
      <c r="F22" s="38" t="str">
        <f t="shared" ref="F22:F35" si="1">IF(E22&lt;=3000,"Bronze",(IF(E22&gt;5000,"Platinum","Gold")))</f>
        <v>Gold</v>
      </c>
      <c r="H22" s="35" t="s">
        <v>90</v>
      </c>
      <c r="I22" s="35"/>
      <c r="J22" s="35"/>
      <c r="K22" s="35"/>
      <c r="L22" s="35"/>
      <c r="M22" s="35"/>
    </row>
    <row r="23" spans="2:13" x14ac:dyDescent="0.2">
      <c r="B23" s="37">
        <v>3</v>
      </c>
      <c r="C23" s="38" t="s">
        <v>61</v>
      </c>
      <c r="D23" s="38" t="s">
        <v>62</v>
      </c>
      <c r="E23" s="39">
        <v>6543</v>
      </c>
      <c r="F23" s="38" t="str">
        <f t="shared" si="1"/>
        <v>Platinum</v>
      </c>
    </row>
    <row r="24" spans="2:13" x14ac:dyDescent="0.2">
      <c r="B24" s="40">
        <v>4</v>
      </c>
      <c r="C24" s="41" t="s">
        <v>64</v>
      </c>
      <c r="D24" s="41" t="s">
        <v>65</v>
      </c>
      <c r="E24" s="42">
        <v>2857</v>
      </c>
      <c r="F24" s="38" t="str">
        <f t="shared" si="1"/>
        <v>Bronze</v>
      </c>
    </row>
    <row r="25" spans="2:13" x14ac:dyDescent="0.2">
      <c r="B25" s="37">
        <v>5</v>
      </c>
      <c r="C25" s="38" t="s">
        <v>66</v>
      </c>
      <c r="D25" s="38" t="s">
        <v>67</v>
      </c>
      <c r="E25" s="39">
        <v>2113</v>
      </c>
      <c r="F25" s="38" t="str">
        <f t="shared" si="1"/>
        <v>Bronze</v>
      </c>
    </row>
    <row r="26" spans="2:13" x14ac:dyDescent="0.2">
      <c r="B26" s="40">
        <v>6</v>
      </c>
      <c r="C26" s="41" t="s">
        <v>68</v>
      </c>
      <c r="D26" s="41" t="s">
        <v>69</v>
      </c>
      <c r="E26" s="42">
        <v>1167</v>
      </c>
      <c r="F26" s="38" t="str">
        <f t="shared" si="1"/>
        <v>Bronze</v>
      </c>
    </row>
    <row r="27" spans="2:13" x14ac:dyDescent="0.2">
      <c r="B27" s="37">
        <v>7</v>
      </c>
      <c r="C27" s="38" t="s">
        <v>70</v>
      </c>
      <c r="D27" s="38" t="s">
        <v>71</v>
      </c>
      <c r="E27" s="39">
        <v>9823</v>
      </c>
      <c r="F27" s="38" t="str">
        <f t="shared" si="1"/>
        <v>Platinum</v>
      </c>
    </row>
    <row r="28" spans="2:13" x14ac:dyDescent="0.2">
      <c r="B28" s="40">
        <v>8</v>
      </c>
      <c r="C28" s="41" t="s">
        <v>72</v>
      </c>
      <c r="D28" s="41" t="s">
        <v>73</v>
      </c>
      <c r="E28" s="42">
        <v>3421</v>
      </c>
      <c r="F28" s="38" t="str">
        <f t="shared" si="1"/>
        <v>Gold</v>
      </c>
    </row>
    <row r="29" spans="2:13" x14ac:dyDescent="0.2">
      <c r="B29" s="37">
        <v>9</v>
      </c>
      <c r="C29" s="38" t="s">
        <v>74</v>
      </c>
      <c r="D29" s="38" t="s">
        <v>75</v>
      </c>
      <c r="E29" s="39">
        <v>7654</v>
      </c>
      <c r="F29" s="38" t="str">
        <f t="shared" si="1"/>
        <v>Platinum</v>
      </c>
    </row>
    <row r="30" spans="2:13" x14ac:dyDescent="0.2">
      <c r="B30" s="40">
        <v>10</v>
      </c>
      <c r="C30" s="41" t="s">
        <v>76</v>
      </c>
      <c r="D30" s="41" t="s">
        <v>77</v>
      </c>
      <c r="E30" s="42">
        <v>2351</v>
      </c>
      <c r="F30" s="38" t="str">
        <f t="shared" si="1"/>
        <v>Bronze</v>
      </c>
    </row>
    <row r="31" spans="2:13" x14ac:dyDescent="0.2">
      <c r="B31" s="37">
        <v>11</v>
      </c>
      <c r="C31" s="38" t="s">
        <v>78</v>
      </c>
      <c r="D31" s="38" t="s">
        <v>65</v>
      </c>
      <c r="E31" s="39">
        <v>9567</v>
      </c>
      <c r="F31" s="38" t="str">
        <f t="shared" si="1"/>
        <v>Platinum</v>
      </c>
    </row>
    <row r="32" spans="2:13" x14ac:dyDescent="0.2">
      <c r="B32" s="40">
        <v>12</v>
      </c>
      <c r="C32" s="41" t="s">
        <v>79</v>
      </c>
      <c r="D32" s="41" t="s">
        <v>80</v>
      </c>
      <c r="E32" s="42">
        <v>5765</v>
      </c>
      <c r="F32" s="38" t="str">
        <f t="shared" si="1"/>
        <v>Platinum</v>
      </c>
    </row>
    <row r="33" spans="2:13" x14ac:dyDescent="0.2">
      <c r="B33" s="37">
        <v>13</v>
      </c>
      <c r="C33" s="38" t="s">
        <v>81</v>
      </c>
      <c r="D33" s="38" t="s">
        <v>82</v>
      </c>
      <c r="E33" s="39">
        <v>4706</v>
      </c>
      <c r="F33" s="38" t="str">
        <f t="shared" si="1"/>
        <v>Gold</v>
      </c>
    </row>
    <row r="34" spans="2:13" x14ac:dyDescent="0.2">
      <c r="B34" s="40">
        <v>14</v>
      </c>
      <c r="C34" s="41" t="s">
        <v>83</v>
      </c>
      <c r="D34" s="41" t="s">
        <v>84</v>
      </c>
      <c r="E34" s="42">
        <v>9887</v>
      </c>
      <c r="F34" s="38" t="str">
        <f t="shared" si="1"/>
        <v>Platinum</v>
      </c>
    </row>
    <row r="35" spans="2:13" x14ac:dyDescent="0.2">
      <c r="B35" s="37">
        <v>15</v>
      </c>
      <c r="C35" s="38" t="s">
        <v>85</v>
      </c>
      <c r="D35" s="38" t="s">
        <v>86</v>
      </c>
      <c r="E35" s="39">
        <v>2342</v>
      </c>
      <c r="F35" s="38" t="str">
        <f t="shared" si="1"/>
        <v>Bronze</v>
      </c>
    </row>
    <row r="36" spans="2:13" x14ac:dyDescent="0.2"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8" spans="2:13" ht="15" x14ac:dyDescent="0.25">
      <c r="B38" s="33" t="s">
        <v>51</v>
      </c>
      <c r="C38" s="34" t="s">
        <v>52</v>
      </c>
      <c r="D38" s="34" t="s">
        <v>53</v>
      </c>
      <c r="E38" s="35" t="s">
        <v>39</v>
      </c>
      <c r="F38" s="35" t="s">
        <v>91</v>
      </c>
      <c r="H38" s="35" t="s">
        <v>92</v>
      </c>
      <c r="I38" s="35"/>
      <c r="J38" s="35"/>
      <c r="K38" s="35"/>
      <c r="L38" s="35"/>
      <c r="M38" s="35"/>
    </row>
    <row r="39" spans="2:13" ht="15" x14ac:dyDescent="0.25">
      <c r="B39" s="37">
        <v>1</v>
      </c>
      <c r="C39" s="38" t="s">
        <v>55</v>
      </c>
      <c r="D39" s="38" t="s">
        <v>56</v>
      </c>
      <c r="E39" s="39">
        <v>2345</v>
      </c>
      <c r="F39" s="38">
        <f>E39*IF(E39&lt;5000,$I$43,$I$44)</f>
        <v>1641.5</v>
      </c>
      <c r="H39" s="35" t="s">
        <v>93</v>
      </c>
      <c r="I39" s="35"/>
      <c r="J39" s="35"/>
      <c r="K39" s="35"/>
      <c r="L39" s="35"/>
      <c r="M39" s="35"/>
    </row>
    <row r="40" spans="2:13" ht="15" x14ac:dyDescent="0.25">
      <c r="B40" s="40">
        <v>2</v>
      </c>
      <c r="C40" s="41" t="s">
        <v>58</v>
      </c>
      <c r="D40" s="41" t="s">
        <v>59</v>
      </c>
      <c r="E40" s="42">
        <v>4355</v>
      </c>
      <c r="F40" s="38">
        <f t="shared" ref="F40:F53" si="2">E40*IF(E40&lt;5000,$I$43,$I$44)</f>
        <v>3048.5</v>
      </c>
      <c r="H40" s="35"/>
      <c r="I40" s="35"/>
      <c r="J40" s="35"/>
      <c r="K40" s="35"/>
      <c r="L40" s="35"/>
      <c r="M40" s="35"/>
    </row>
    <row r="41" spans="2:13" x14ac:dyDescent="0.2">
      <c r="B41" s="37">
        <v>3</v>
      </c>
      <c r="C41" s="38" t="s">
        <v>61</v>
      </c>
      <c r="D41" s="38" t="s">
        <v>62</v>
      </c>
      <c r="E41" s="39">
        <v>6543</v>
      </c>
      <c r="F41" s="38">
        <f t="shared" si="2"/>
        <v>7197.3</v>
      </c>
    </row>
    <row r="42" spans="2:13" x14ac:dyDescent="0.2">
      <c r="B42" s="40">
        <v>4</v>
      </c>
      <c r="C42" s="41" t="s">
        <v>64</v>
      </c>
      <c r="D42" s="41" t="s">
        <v>65</v>
      </c>
      <c r="E42" s="42">
        <v>2857</v>
      </c>
      <c r="F42" s="38">
        <f t="shared" si="2"/>
        <v>1999.8999999999999</v>
      </c>
      <c r="H42" s="43" t="s">
        <v>39</v>
      </c>
      <c r="I42" s="43" t="s">
        <v>94</v>
      </c>
    </row>
    <row r="43" spans="2:13" x14ac:dyDescent="0.2">
      <c r="B43" s="37">
        <v>5</v>
      </c>
      <c r="C43" s="38" t="s">
        <v>66</v>
      </c>
      <c r="D43" s="38" t="s">
        <v>67</v>
      </c>
      <c r="E43" s="39">
        <v>2113</v>
      </c>
      <c r="F43" s="38">
        <f t="shared" si="2"/>
        <v>1479.1</v>
      </c>
      <c r="H43" s="43" t="s">
        <v>95</v>
      </c>
      <c r="I43" s="43">
        <v>0.7</v>
      </c>
    </row>
    <row r="44" spans="2:13" x14ac:dyDescent="0.2">
      <c r="B44" s="40">
        <v>6</v>
      </c>
      <c r="C44" s="41" t="s">
        <v>68</v>
      </c>
      <c r="D44" s="41" t="s">
        <v>69</v>
      </c>
      <c r="E44" s="42">
        <v>1167</v>
      </c>
      <c r="F44" s="38">
        <f t="shared" si="2"/>
        <v>816.9</v>
      </c>
      <c r="H44" s="43" t="s">
        <v>96</v>
      </c>
      <c r="I44" s="43">
        <v>1.1000000000000001</v>
      </c>
    </row>
    <row r="45" spans="2:13" x14ac:dyDescent="0.2">
      <c r="B45" s="37">
        <v>7</v>
      </c>
      <c r="C45" s="38" t="s">
        <v>70</v>
      </c>
      <c r="D45" s="38" t="s">
        <v>71</v>
      </c>
      <c r="E45" s="39">
        <v>9823</v>
      </c>
      <c r="F45" s="38">
        <f t="shared" si="2"/>
        <v>10805.300000000001</v>
      </c>
    </row>
    <row r="46" spans="2:13" x14ac:dyDescent="0.2">
      <c r="B46" s="40">
        <v>8</v>
      </c>
      <c r="C46" s="41" t="s">
        <v>72</v>
      </c>
      <c r="D46" s="41" t="s">
        <v>73</v>
      </c>
      <c r="E46" s="42">
        <v>3421</v>
      </c>
      <c r="F46" s="38">
        <f t="shared" si="2"/>
        <v>2394.6999999999998</v>
      </c>
    </row>
    <row r="47" spans="2:13" x14ac:dyDescent="0.2">
      <c r="B47" s="37">
        <v>9</v>
      </c>
      <c r="C47" s="38" t="s">
        <v>74</v>
      </c>
      <c r="D47" s="38" t="s">
        <v>75</v>
      </c>
      <c r="E47" s="39">
        <v>7654</v>
      </c>
      <c r="F47" s="38">
        <f t="shared" si="2"/>
        <v>8419.4000000000015</v>
      </c>
    </row>
    <row r="48" spans="2:13" x14ac:dyDescent="0.2">
      <c r="B48" s="40">
        <v>10</v>
      </c>
      <c r="C48" s="41" t="s">
        <v>76</v>
      </c>
      <c r="D48" s="41" t="s">
        <v>77</v>
      </c>
      <c r="E48" s="42">
        <v>2351</v>
      </c>
      <c r="F48" s="38">
        <f t="shared" si="2"/>
        <v>1645.6999999999998</v>
      </c>
    </row>
    <row r="49" spans="2:6" x14ac:dyDescent="0.2">
      <c r="B49" s="37">
        <v>11</v>
      </c>
      <c r="C49" s="38" t="s">
        <v>78</v>
      </c>
      <c r="D49" s="38" t="s">
        <v>65</v>
      </c>
      <c r="E49" s="39">
        <v>9567</v>
      </c>
      <c r="F49" s="38">
        <f t="shared" si="2"/>
        <v>10523.7</v>
      </c>
    </row>
    <row r="50" spans="2:6" x14ac:dyDescent="0.2">
      <c r="B50" s="40">
        <v>12</v>
      </c>
      <c r="C50" s="41" t="s">
        <v>79</v>
      </c>
      <c r="D50" s="41" t="s">
        <v>80</v>
      </c>
      <c r="E50" s="42">
        <v>5765</v>
      </c>
      <c r="F50" s="38">
        <f t="shared" si="2"/>
        <v>6341.5000000000009</v>
      </c>
    </row>
    <row r="51" spans="2:6" x14ac:dyDescent="0.2">
      <c r="B51" s="37">
        <v>13</v>
      </c>
      <c r="C51" s="38" t="s">
        <v>81</v>
      </c>
      <c r="D51" s="38" t="s">
        <v>82</v>
      </c>
      <c r="E51" s="39">
        <v>4706</v>
      </c>
      <c r="F51" s="38">
        <f t="shared" si="2"/>
        <v>3294.2</v>
      </c>
    </row>
    <row r="52" spans="2:6" x14ac:dyDescent="0.2">
      <c r="B52" s="40">
        <v>14</v>
      </c>
      <c r="C52" s="41" t="s">
        <v>83</v>
      </c>
      <c r="D52" s="41" t="s">
        <v>84</v>
      </c>
      <c r="E52" s="42">
        <v>9887</v>
      </c>
      <c r="F52" s="38">
        <f t="shared" si="2"/>
        <v>10875.7</v>
      </c>
    </row>
    <row r="53" spans="2:6" x14ac:dyDescent="0.2">
      <c r="B53" s="37">
        <v>15</v>
      </c>
      <c r="C53" s="38" t="s">
        <v>85</v>
      </c>
      <c r="D53" s="38" t="s">
        <v>86</v>
      </c>
      <c r="E53" s="39">
        <v>2342</v>
      </c>
      <c r="F53" s="38">
        <f t="shared" si="2"/>
        <v>1639.3999999999999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5"/>
  <dimension ref="A1:F27"/>
  <sheetViews>
    <sheetView workbookViewId="0">
      <selection activeCell="F2" sqref="F2"/>
    </sheetView>
  </sheetViews>
  <sheetFormatPr defaultColWidth="11.5703125" defaultRowHeight="12.75" x14ac:dyDescent="0.2"/>
  <cols>
    <col min="1" max="1" width="13.7109375" customWidth="1"/>
  </cols>
  <sheetData>
    <row r="1" spans="1:6" ht="15.75" x14ac:dyDescent="0.25">
      <c r="A1" s="3" t="s">
        <v>111</v>
      </c>
    </row>
    <row r="3" spans="1:6" x14ac:dyDescent="0.2">
      <c r="A3" s="10" t="s">
        <v>112</v>
      </c>
      <c r="B3">
        <v>100000</v>
      </c>
    </row>
    <row r="4" spans="1:6" x14ac:dyDescent="0.2">
      <c r="A4" t="s">
        <v>3</v>
      </c>
      <c r="B4" s="2">
        <v>7.0000000000000007E-2</v>
      </c>
    </row>
    <row r="5" spans="1:6" x14ac:dyDescent="0.2">
      <c r="A5" s="10" t="s">
        <v>13</v>
      </c>
      <c r="B5">
        <v>7000</v>
      </c>
    </row>
    <row r="7" spans="1:6" x14ac:dyDescent="0.2">
      <c r="B7" s="5" t="s">
        <v>6</v>
      </c>
      <c r="C7" s="5" t="s">
        <v>13</v>
      </c>
      <c r="D7" s="11" t="s">
        <v>15</v>
      </c>
      <c r="E7" s="11" t="s">
        <v>14</v>
      </c>
      <c r="F7" s="5" t="s">
        <v>7</v>
      </c>
    </row>
    <row r="8" spans="1:6" x14ac:dyDescent="0.2">
      <c r="B8" s="4">
        <f>ROW()-7</f>
        <v>1</v>
      </c>
      <c r="C8" s="4">
        <f>$B$5</f>
        <v>7000</v>
      </c>
      <c r="D8" s="4">
        <f>$B$3*$B$4</f>
        <v>7000.0000000000009</v>
      </c>
      <c r="E8" s="4">
        <f>$B$3-C8</f>
        <v>93000</v>
      </c>
      <c r="F8" s="4">
        <f>C8+D8</f>
        <v>14000</v>
      </c>
    </row>
    <row r="9" spans="1:6" x14ac:dyDescent="0.2">
      <c r="B9" s="4">
        <f>ROW()-7</f>
        <v>2</v>
      </c>
      <c r="C9" s="4">
        <f>IF(E8&lt;$B$5,E8,$B$5)</f>
        <v>7000</v>
      </c>
      <c r="D9" s="4">
        <f>E8*$B$4</f>
        <v>6510.0000000000009</v>
      </c>
      <c r="E9" s="4">
        <f>E8-C9</f>
        <v>86000</v>
      </c>
      <c r="F9" s="4">
        <f t="shared" ref="F9:F27" si="0">C9+D9</f>
        <v>13510</v>
      </c>
    </row>
    <row r="10" spans="1:6" x14ac:dyDescent="0.2">
      <c r="B10" s="4">
        <f t="shared" ref="B10:B27" si="1">ROW()-7</f>
        <v>3</v>
      </c>
      <c r="C10" s="4">
        <f t="shared" ref="C10:C25" si="2">IF(E9&lt;$B$5,E9,$B$5)</f>
        <v>7000</v>
      </c>
      <c r="D10" s="4">
        <f t="shared" ref="D10:D27" si="3">E9*$B$4</f>
        <v>6020.0000000000009</v>
      </c>
      <c r="E10" s="4">
        <f t="shared" ref="E10:E27" si="4">E9-C10</f>
        <v>79000</v>
      </c>
      <c r="F10" s="4">
        <f t="shared" si="0"/>
        <v>13020</v>
      </c>
    </row>
    <row r="11" spans="1:6" x14ac:dyDescent="0.2">
      <c r="B11" s="4">
        <f t="shared" si="1"/>
        <v>4</v>
      </c>
      <c r="C11" s="4">
        <f t="shared" si="2"/>
        <v>7000</v>
      </c>
      <c r="D11" s="4">
        <f t="shared" si="3"/>
        <v>5530.0000000000009</v>
      </c>
      <c r="E11" s="4">
        <f t="shared" si="4"/>
        <v>72000</v>
      </c>
      <c r="F11" s="4">
        <f t="shared" si="0"/>
        <v>12530</v>
      </c>
    </row>
    <row r="12" spans="1:6" x14ac:dyDescent="0.2">
      <c r="B12" s="4">
        <f t="shared" si="1"/>
        <v>5</v>
      </c>
      <c r="C12" s="4">
        <f t="shared" si="2"/>
        <v>7000</v>
      </c>
      <c r="D12" s="4">
        <f t="shared" si="3"/>
        <v>5040.0000000000009</v>
      </c>
      <c r="E12" s="4">
        <f t="shared" si="4"/>
        <v>65000</v>
      </c>
      <c r="F12" s="4">
        <f t="shared" si="0"/>
        <v>12040</v>
      </c>
    </row>
    <row r="13" spans="1:6" x14ac:dyDescent="0.2">
      <c r="B13" s="4">
        <f t="shared" si="1"/>
        <v>6</v>
      </c>
      <c r="C13" s="4">
        <f t="shared" si="2"/>
        <v>7000</v>
      </c>
      <c r="D13" s="4">
        <f t="shared" si="3"/>
        <v>4550</v>
      </c>
      <c r="E13" s="4">
        <f t="shared" si="4"/>
        <v>58000</v>
      </c>
      <c r="F13" s="4">
        <f t="shared" si="0"/>
        <v>11550</v>
      </c>
    </row>
    <row r="14" spans="1:6" x14ac:dyDescent="0.2">
      <c r="B14" s="4">
        <f t="shared" si="1"/>
        <v>7</v>
      </c>
      <c r="C14" s="4">
        <f t="shared" si="2"/>
        <v>7000</v>
      </c>
      <c r="D14" s="4">
        <f t="shared" si="3"/>
        <v>4060.0000000000005</v>
      </c>
      <c r="E14" s="4">
        <f t="shared" si="4"/>
        <v>51000</v>
      </c>
      <c r="F14" s="4">
        <f t="shared" si="0"/>
        <v>11060</v>
      </c>
    </row>
    <row r="15" spans="1:6" x14ac:dyDescent="0.2">
      <c r="B15" s="4">
        <f t="shared" si="1"/>
        <v>8</v>
      </c>
      <c r="C15" s="4">
        <f t="shared" si="2"/>
        <v>7000</v>
      </c>
      <c r="D15" s="4">
        <f t="shared" si="3"/>
        <v>3570.0000000000005</v>
      </c>
      <c r="E15" s="4">
        <f t="shared" si="4"/>
        <v>44000</v>
      </c>
      <c r="F15" s="4">
        <f t="shared" si="0"/>
        <v>10570</v>
      </c>
    </row>
    <row r="16" spans="1:6" x14ac:dyDescent="0.2">
      <c r="B16" s="4">
        <f t="shared" si="1"/>
        <v>9</v>
      </c>
      <c r="C16" s="4">
        <f t="shared" si="2"/>
        <v>7000</v>
      </c>
      <c r="D16" s="4">
        <f t="shared" si="3"/>
        <v>3080.0000000000005</v>
      </c>
      <c r="E16" s="4">
        <f t="shared" si="4"/>
        <v>37000</v>
      </c>
      <c r="F16" s="4">
        <f t="shared" si="0"/>
        <v>10080</v>
      </c>
    </row>
    <row r="17" spans="2:6" x14ac:dyDescent="0.2">
      <c r="B17" s="4">
        <f t="shared" si="1"/>
        <v>10</v>
      </c>
      <c r="C17" s="4">
        <f t="shared" si="2"/>
        <v>7000</v>
      </c>
      <c r="D17" s="4">
        <f t="shared" si="3"/>
        <v>2590.0000000000005</v>
      </c>
      <c r="E17" s="4">
        <f t="shared" si="4"/>
        <v>30000</v>
      </c>
      <c r="F17" s="4">
        <f t="shared" si="0"/>
        <v>9590</v>
      </c>
    </row>
    <row r="18" spans="2:6" x14ac:dyDescent="0.2">
      <c r="B18" s="4">
        <f t="shared" si="1"/>
        <v>11</v>
      </c>
      <c r="C18" s="4">
        <f t="shared" si="2"/>
        <v>7000</v>
      </c>
      <c r="D18" s="4">
        <f t="shared" si="3"/>
        <v>2100</v>
      </c>
      <c r="E18" s="4">
        <f t="shared" si="4"/>
        <v>23000</v>
      </c>
      <c r="F18" s="4">
        <f t="shared" si="0"/>
        <v>9100</v>
      </c>
    </row>
    <row r="19" spans="2:6" x14ac:dyDescent="0.2">
      <c r="B19" s="4">
        <f t="shared" si="1"/>
        <v>12</v>
      </c>
      <c r="C19" s="4">
        <f t="shared" si="2"/>
        <v>7000</v>
      </c>
      <c r="D19" s="4">
        <f t="shared" si="3"/>
        <v>1610.0000000000002</v>
      </c>
      <c r="E19" s="4">
        <f t="shared" si="4"/>
        <v>16000</v>
      </c>
      <c r="F19" s="4">
        <f t="shared" si="0"/>
        <v>8610</v>
      </c>
    </row>
    <row r="20" spans="2:6" x14ac:dyDescent="0.2">
      <c r="B20" s="4">
        <f t="shared" si="1"/>
        <v>13</v>
      </c>
      <c r="C20" s="4">
        <f t="shared" si="2"/>
        <v>7000</v>
      </c>
      <c r="D20" s="4">
        <f t="shared" si="3"/>
        <v>1120</v>
      </c>
      <c r="E20" s="4">
        <f t="shared" si="4"/>
        <v>9000</v>
      </c>
      <c r="F20" s="4">
        <f t="shared" si="0"/>
        <v>8120</v>
      </c>
    </row>
    <row r="21" spans="2:6" x14ac:dyDescent="0.2">
      <c r="B21" s="4">
        <f t="shared" si="1"/>
        <v>14</v>
      </c>
      <c r="C21" s="4">
        <f t="shared" si="2"/>
        <v>7000</v>
      </c>
      <c r="D21" s="4">
        <f t="shared" si="3"/>
        <v>630.00000000000011</v>
      </c>
      <c r="E21" s="4">
        <f t="shared" si="4"/>
        <v>2000</v>
      </c>
      <c r="F21" s="4">
        <f t="shared" si="0"/>
        <v>7630</v>
      </c>
    </row>
    <row r="22" spans="2:6" x14ac:dyDescent="0.2">
      <c r="B22" s="4">
        <f t="shared" si="1"/>
        <v>15</v>
      </c>
      <c r="C22" s="4">
        <f t="shared" si="2"/>
        <v>2000</v>
      </c>
      <c r="D22" s="4">
        <f t="shared" si="3"/>
        <v>140</v>
      </c>
      <c r="E22" s="4">
        <f t="shared" si="4"/>
        <v>0</v>
      </c>
      <c r="F22" s="4">
        <f t="shared" si="0"/>
        <v>2140</v>
      </c>
    </row>
    <row r="23" spans="2:6" x14ac:dyDescent="0.2">
      <c r="B23" s="4">
        <f t="shared" si="1"/>
        <v>16</v>
      </c>
      <c r="C23" s="4">
        <f t="shared" si="2"/>
        <v>0</v>
      </c>
      <c r="D23" s="4">
        <f t="shared" si="3"/>
        <v>0</v>
      </c>
      <c r="E23" s="4">
        <f t="shared" si="4"/>
        <v>0</v>
      </c>
      <c r="F23" s="4">
        <f t="shared" si="0"/>
        <v>0</v>
      </c>
    </row>
    <row r="24" spans="2:6" x14ac:dyDescent="0.2">
      <c r="B24" s="4">
        <f t="shared" si="1"/>
        <v>17</v>
      </c>
      <c r="C24" s="4">
        <f t="shared" si="2"/>
        <v>0</v>
      </c>
      <c r="D24" s="4">
        <f t="shared" si="3"/>
        <v>0</v>
      </c>
      <c r="E24" s="4">
        <f t="shared" si="4"/>
        <v>0</v>
      </c>
      <c r="F24" s="4">
        <f t="shared" si="0"/>
        <v>0</v>
      </c>
    </row>
    <row r="25" spans="2:6" x14ac:dyDescent="0.2">
      <c r="B25" s="4">
        <f t="shared" si="1"/>
        <v>18</v>
      </c>
      <c r="C25" s="4">
        <f t="shared" si="2"/>
        <v>0</v>
      </c>
      <c r="D25" s="4">
        <f t="shared" si="3"/>
        <v>0</v>
      </c>
      <c r="E25" s="4">
        <f t="shared" si="4"/>
        <v>0</v>
      </c>
      <c r="F25" s="4">
        <f t="shared" si="0"/>
        <v>0</v>
      </c>
    </row>
    <row r="26" spans="2:6" x14ac:dyDescent="0.2">
      <c r="B26" s="4">
        <f t="shared" si="1"/>
        <v>19</v>
      </c>
      <c r="C26" s="4">
        <f>IF(E25&lt;$B$5,E25,$B$5)</f>
        <v>0</v>
      </c>
      <c r="D26" s="4">
        <f t="shared" si="3"/>
        <v>0</v>
      </c>
      <c r="E26" s="4">
        <f t="shared" si="4"/>
        <v>0</v>
      </c>
      <c r="F26" s="4">
        <f t="shared" si="0"/>
        <v>0</v>
      </c>
    </row>
    <row r="27" spans="2:6" x14ac:dyDescent="0.2">
      <c r="B27" s="4">
        <f t="shared" si="1"/>
        <v>20</v>
      </c>
      <c r="C27" s="4">
        <f>IF(E26&lt;$B$5,E26,$B$5)</f>
        <v>0</v>
      </c>
      <c r="D27" s="4">
        <f t="shared" si="3"/>
        <v>0</v>
      </c>
      <c r="E27" s="4">
        <f t="shared" si="4"/>
        <v>0</v>
      </c>
      <c r="F27" s="4">
        <f t="shared" si="0"/>
        <v>0</v>
      </c>
    </row>
  </sheetData>
  <phoneticPr fontId="9" type="noConversion"/>
  <pageMargins left="0.78740157499999996" right="0.78740157499999996" top="0.984251969" bottom="0.984251969" header="0.4921259845" footer="0.492125984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6"/>
  <dimension ref="A1:F28"/>
  <sheetViews>
    <sheetView topLeftCell="A3" workbookViewId="0">
      <selection activeCell="E4" sqref="E4"/>
    </sheetView>
  </sheetViews>
  <sheetFormatPr defaultColWidth="11.5703125" defaultRowHeight="12.75" x14ac:dyDescent="0.2"/>
  <cols>
    <col min="1" max="1" width="17.140625" customWidth="1"/>
    <col min="2" max="2" width="13.140625" bestFit="1" customWidth="1"/>
    <col min="5" max="5" width="12.5703125" customWidth="1"/>
  </cols>
  <sheetData>
    <row r="1" spans="1:6" ht="15.75" x14ac:dyDescent="0.25">
      <c r="A1" s="62" t="s">
        <v>108</v>
      </c>
      <c r="B1" s="63"/>
    </row>
    <row r="3" spans="1:6" x14ac:dyDescent="0.2">
      <c r="A3" s="10" t="s">
        <v>110</v>
      </c>
      <c r="B3">
        <v>100000</v>
      </c>
    </row>
    <row r="4" spans="1:6" x14ac:dyDescent="0.2">
      <c r="A4" t="s">
        <v>3</v>
      </c>
      <c r="B4" s="2">
        <v>7.0000000000000007E-2</v>
      </c>
    </row>
    <row r="5" spans="1:6" x14ac:dyDescent="0.2">
      <c r="A5" s="10" t="s">
        <v>109</v>
      </c>
      <c r="B5">
        <v>10</v>
      </c>
    </row>
    <row r="6" spans="1:6" x14ac:dyDescent="0.2">
      <c r="A6" t="s">
        <v>8</v>
      </c>
      <c r="B6" s="6">
        <f>-PMT(B4,B5,B3)</f>
        <v>14237.750272736472</v>
      </c>
    </row>
    <row r="8" spans="1:6" x14ac:dyDescent="0.2">
      <c r="B8" s="5" t="s">
        <v>6</v>
      </c>
      <c r="C8" s="5" t="s">
        <v>13</v>
      </c>
      <c r="D8" s="11" t="s">
        <v>15</v>
      </c>
      <c r="E8" s="11" t="s">
        <v>14</v>
      </c>
      <c r="F8" s="12" t="s">
        <v>7</v>
      </c>
    </row>
    <row r="9" spans="1:6" x14ac:dyDescent="0.2">
      <c r="B9" s="4">
        <f>ROW()-8</f>
        <v>1</v>
      </c>
      <c r="C9" s="7">
        <f>$B$6-D9</f>
        <v>7237.7502727364708</v>
      </c>
      <c r="D9" s="7">
        <f>$B$3*$B$4</f>
        <v>7000.0000000000009</v>
      </c>
      <c r="E9" s="7">
        <f>$B$3-C9</f>
        <v>92762.249727263523</v>
      </c>
      <c r="F9" s="7">
        <f>C9+D9</f>
        <v>14237.750272736472</v>
      </c>
    </row>
    <row r="10" spans="1:6" x14ac:dyDescent="0.2">
      <c r="B10" s="4">
        <f t="shared" ref="B10:B28" si="0">ROW()-8</f>
        <v>2</v>
      </c>
      <c r="C10" s="7">
        <f>IF(E9=0,0,$B$6-D10)</f>
        <v>7744.3927918280242</v>
      </c>
      <c r="D10" s="7">
        <f>E9*$B$4</f>
        <v>6493.3574809084475</v>
      </c>
      <c r="E10" s="7">
        <f>E9-C10</f>
        <v>85017.856935435499</v>
      </c>
      <c r="F10" s="7">
        <f t="shared" ref="F10:F28" si="1">C10+D10</f>
        <v>14237.750272736472</v>
      </c>
    </row>
    <row r="11" spans="1:6" x14ac:dyDescent="0.2">
      <c r="B11" s="4">
        <f t="shared" si="0"/>
        <v>3</v>
      </c>
      <c r="C11" s="7">
        <f t="shared" ref="C11:C28" si="2">IF(E10=0,0,$B$6-D11)</f>
        <v>8286.5002872559853</v>
      </c>
      <c r="D11" s="7">
        <f t="shared" ref="D11:D28" si="3">E10*$B$4</f>
        <v>5951.2499854804855</v>
      </c>
      <c r="E11" s="7">
        <f t="shared" ref="E11:E28" si="4">E10-C11</f>
        <v>76731.356648179513</v>
      </c>
      <c r="F11" s="7">
        <f t="shared" si="1"/>
        <v>14237.75027273647</v>
      </c>
    </row>
    <row r="12" spans="1:6" x14ac:dyDescent="0.2">
      <c r="B12" s="4">
        <f t="shared" si="0"/>
        <v>4</v>
      </c>
      <c r="C12" s="7">
        <f t="shared" si="2"/>
        <v>8866.5553073639057</v>
      </c>
      <c r="D12" s="7">
        <f t="shared" si="3"/>
        <v>5371.194965372566</v>
      </c>
      <c r="E12" s="7">
        <f t="shared" si="4"/>
        <v>67864.801340815611</v>
      </c>
      <c r="F12" s="7">
        <f t="shared" si="1"/>
        <v>14237.750272736472</v>
      </c>
    </row>
    <row r="13" spans="1:6" x14ac:dyDescent="0.2">
      <c r="B13" s="4">
        <f t="shared" si="0"/>
        <v>5</v>
      </c>
      <c r="C13" s="7">
        <f t="shared" si="2"/>
        <v>9487.2141788793779</v>
      </c>
      <c r="D13" s="7">
        <f t="shared" si="3"/>
        <v>4750.536093857093</v>
      </c>
      <c r="E13" s="7">
        <f t="shared" si="4"/>
        <v>58377.58716193623</v>
      </c>
      <c r="F13" s="7">
        <f t="shared" si="1"/>
        <v>14237.75027273647</v>
      </c>
    </row>
    <row r="14" spans="1:6" x14ac:dyDescent="0.2">
      <c r="B14" s="4">
        <f t="shared" si="0"/>
        <v>6</v>
      </c>
      <c r="C14" s="7">
        <f t="shared" si="2"/>
        <v>10151.319171400935</v>
      </c>
      <c r="D14" s="7">
        <f t="shared" si="3"/>
        <v>4086.4311013355364</v>
      </c>
      <c r="E14" s="7">
        <f t="shared" si="4"/>
        <v>48226.267990535292</v>
      </c>
      <c r="F14" s="7">
        <f t="shared" si="1"/>
        <v>14237.750272736472</v>
      </c>
    </row>
    <row r="15" spans="1:6" x14ac:dyDescent="0.2">
      <c r="B15" s="4">
        <f t="shared" si="0"/>
        <v>7</v>
      </c>
      <c r="C15" s="7">
        <f t="shared" si="2"/>
        <v>10861.911513399002</v>
      </c>
      <c r="D15" s="7">
        <f t="shared" si="3"/>
        <v>3375.8387593374709</v>
      </c>
      <c r="E15" s="7">
        <f t="shared" si="4"/>
        <v>37364.356477136287</v>
      </c>
      <c r="F15" s="7">
        <f t="shared" si="1"/>
        <v>14237.750272736474</v>
      </c>
    </row>
    <row r="16" spans="1:6" x14ac:dyDescent="0.2">
      <c r="B16" s="4">
        <f t="shared" si="0"/>
        <v>8</v>
      </c>
      <c r="C16" s="7">
        <f t="shared" si="2"/>
        <v>11622.245319336931</v>
      </c>
      <c r="D16" s="7">
        <f t="shared" si="3"/>
        <v>2615.5049533995402</v>
      </c>
      <c r="E16" s="7">
        <f t="shared" si="4"/>
        <v>25742.111157799358</v>
      </c>
      <c r="F16" s="7">
        <f t="shared" si="1"/>
        <v>14237.750272736472</v>
      </c>
    </row>
    <row r="17" spans="2:6" x14ac:dyDescent="0.2">
      <c r="B17" s="4">
        <f t="shared" si="0"/>
        <v>9</v>
      </c>
      <c r="C17" s="7">
        <f t="shared" si="2"/>
        <v>12435.802491690516</v>
      </c>
      <c r="D17" s="7">
        <f t="shared" si="3"/>
        <v>1801.9477810459553</v>
      </c>
      <c r="E17" s="7">
        <f t="shared" si="4"/>
        <v>13306.308666108842</v>
      </c>
      <c r="F17" s="7">
        <f t="shared" si="1"/>
        <v>14237.750272736472</v>
      </c>
    </row>
    <row r="18" spans="2:6" x14ac:dyDescent="0.2">
      <c r="B18" s="4">
        <f t="shared" si="0"/>
        <v>10</v>
      </c>
      <c r="C18" s="7">
        <f t="shared" si="2"/>
        <v>13306.308666108853</v>
      </c>
      <c r="D18" s="7">
        <f t="shared" si="3"/>
        <v>931.44160662761897</v>
      </c>
      <c r="E18" s="7">
        <f t="shared" si="4"/>
        <v>0</v>
      </c>
      <c r="F18" s="7">
        <f t="shared" si="1"/>
        <v>14237.750272736472</v>
      </c>
    </row>
    <row r="19" spans="2:6" x14ac:dyDescent="0.2">
      <c r="B19" s="4">
        <f t="shared" si="0"/>
        <v>11</v>
      </c>
      <c r="C19" s="7">
        <f t="shared" si="2"/>
        <v>0</v>
      </c>
      <c r="D19" s="7">
        <f t="shared" si="3"/>
        <v>0</v>
      </c>
      <c r="E19" s="7">
        <f t="shared" si="4"/>
        <v>0</v>
      </c>
      <c r="F19" s="7">
        <f t="shared" si="1"/>
        <v>0</v>
      </c>
    </row>
    <row r="20" spans="2:6" x14ac:dyDescent="0.2">
      <c r="B20" s="4">
        <f t="shared" si="0"/>
        <v>12</v>
      </c>
      <c r="C20" s="7">
        <f t="shared" si="2"/>
        <v>0</v>
      </c>
      <c r="D20" s="7">
        <f t="shared" si="3"/>
        <v>0</v>
      </c>
      <c r="E20" s="7">
        <f t="shared" si="4"/>
        <v>0</v>
      </c>
      <c r="F20" s="7">
        <f t="shared" si="1"/>
        <v>0</v>
      </c>
    </row>
    <row r="21" spans="2:6" x14ac:dyDescent="0.2">
      <c r="B21" s="4">
        <f t="shared" si="0"/>
        <v>13</v>
      </c>
      <c r="C21" s="7">
        <f t="shared" si="2"/>
        <v>0</v>
      </c>
      <c r="D21" s="7">
        <f t="shared" si="3"/>
        <v>0</v>
      </c>
      <c r="E21" s="7">
        <f t="shared" si="4"/>
        <v>0</v>
      </c>
      <c r="F21" s="7">
        <f t="shared" si="1"/>
        <v>0</v>
      </c>
    </row>
    <row r="22" spans="2:6" x14ac:dyDescent="0.2">
      <c r="B22" s="4">
        <f t="shared" si="0"/>
        <v>14</v>
      </c>
      <c r="C22" s="7">
        <f t="shared" si="2"/>
        <v>0</v>
      </c>
      <c r="D22" s="7">
        <f t="shared" si="3"/>
        <v>0</v>
      </c>
      <c r="E22" s="7">
        <f t="shared" si="4"/>
        <v>0</v>
      </c>
      <c r="F22" s="7">
        <f t="shared" si="1"/>
        <v>0</v>
      </c>
    </row>
    <row r="23" spans="2:6" x14ac:dyDescent="0.2">
      <c r="B23" s="4">
        <f t="shared" si="0"/>
        <v>15</v>
      </c>
      <c r="C23" s="7">
        <f t="shared" si="2"/>
        <v>0</v>
      </c>
      <c r="D23" s="7">
        <f t="shared" si="3"/>
        <v>0</v>
      </c>
      <c r="E23" s="7">
        <f t="shared" si="4"/>
        <v>0</v>
      </c>
      <c r="F23" s="7">
        <f t="shared" si="1"/>
        <v>0</v>
      </c>
    </row>
    <row r="24" spans="2:6" x14ac:dyDescent="0.2">
      <c r="B24" s="4">
        <f t="shared" si="0"/>
        <v>16</v>
      </c>
      <c r="C24" s="7">
        <f t="shared" si="2"/>
        <v>0</v>
      </c>
      <c r="D24" s="7">
        <f t="shared" si="3"/>
        <v>0</v>
      </c>
      <c r="E24" s="7">
        <f t="shared" si="4"/>
        <v>0</v>
      </c>
      <c r="F24" s="7">
        <f t="shared" si="1"/>
        <v>0</v>
      </c>
    </row>
    <row r="25" spans="2:6" x14ac:dyDescent="0.2">
      <c r="B25" s="4">
        <f t="shared" si="0"/>
        <v>17</v>
      </c>
      <c r="C25" s="7">
        <f t="shared" si="2"/>
        <v>0</v>
      </c>
      <c r="D25" s="7">
        <f t="shared" si="3"/>
        <v>0</v>
      </c>
      <c r="E25" s="7">
        <f t="shared" si="4"/>
        <v>0</v>
      </c>
      <c r="F25" s="7">
        <f t="shared" si="1"/>
        <v>0</v>
      </c>
    </row>
    <row r="26" spans="2:6" x14ac:dyDescent="0.2">
      <c r="B26" s="4">
        <f t="shared" si="0"/>
        <v>18</v>
      </c>
      <c r="C26" s="7">
        <f t="shared" si="2"/>
        <v>0</v>
      </c>
      <c r="D26" s="7">
        <f t="shared" si="3"/>
        <v>0</v>
      </c>
      <c r="E26" s="7">
        <f t="shared" si="4"/>
        <v>0</v>
      </c>
      <c r="F26" s="7">
        <f t="shared" si="1"/>
        <v>0</v>
      </c>
    </row>
    <row r="27" spans="2:6" x14ac:dyDescent="0.2">
      <c r="B27" s="4">
        <f t="shared" si="0"/>
        <v>19</v>
      </c>
      <c r="C27" s="7">
        <f t="shared" si="2"/>
        <v>0</v>
      </c>
      <c r="D27" s="7">
        <f t="shared" si="3"/>
        <v>0</v>
      </c>
      <c r="E27" s="7">
        <f t="shared" si="4"/>
        <v>0</v>
      </c>
      <c r="F27" s="7">
        <f t="shared" si="1"/>
        <v>0</v>
      </c>
    </row>
    <row r="28" spans="2:6" x14ac:dyDescent="0.2">
      <c r="B28" s="4">
        <f t="shared" si="0"/>
        <v>20</v>
      </c>
      <c r="C28" s="7">
        <f t="shared" si="2"/>
        <v>0</v>
      </c>
      <c r="D28" s="7">
        <f t="shared" si="3"/>
        <v>0</v>
      </c>
      <c r="E28" s="7">
        <f t="shared" si="4"/>
        <v>0</v>
      </c>
      <c r="F28" s="7">
        <f t="shared" si="1"/>
        <v>0</v>
      </c>
    </row>
  </sheetData>
  <mergeCells count="1">
    <mergeCell ref="A1:B1"/>
  </mergeCells>
  <phoneticPr fontId="9" type="noConversion"/>
  <pageMargins left="0.78740157499999996" right="0.78740157499999996" top="0.984251969" bottom="0.984251969" header="0.4921259845" footer="0.4921259845"/>
  <pageSetup paperSize="9" orientation="portrait" horizontalDpi="4294967292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>
      <selection activeCell="D2" sqref="D2"/>
    </sheetView>
  </sheetViews>
  <sheetFormatPr defaultColWidth="9.140625" defaultRowHeight="12.75" x14ac:dyDescent="0.2"/>
  <cols>
    <col min="1" max="1" width="11.5703125" customWidth="1"/>
    <col min="2" max="2" width="13.140625" customWidth="1"/>
    <col min="3" max="3" width="17" customWidth="1"/>
    <col min="4" max="4" width="27" customWidth="1"/>
  </cols>
  <sheetData>
    <row r="1" spans="1:4" x14ac:dyDescent="0.2">
      <c r="A1" s="13" t="s">
        <v>16</v>
      </c>
      <c r="B1" s="13" t="s">
        <v>17</v>
      </c>
      <c r="C1" s="13" t="s">
        <v>18</v>
      </c>
      <c r="D1" s="13" t="s">
        <v>19</v>
      </c>
    </row>
    <row r="2" spans="1:4" x14ac:dyDescent="0.2">
      <c r="A2" s="14">
        <v>1</v>
      </c>
      <c r="B2" s="14">
        <v>49</v>
      </c>
      <c r="C2" s="14">
        <v>13</v>
      </c>
      <c r="D2" s="15" t="str">
        <f>IF(B2&lt;50,"failed",IF(C2&lt;10,"failed (because of quorum)","passed"))</f>
        <v>failed</v>
      </c>
    </row>
    <row r="3" spans="1:4" x14ac:dyDescent="0.2">
      <c r="A3" s="14">
        <v>2</v>
      </c>
      <c r="B3" s="14">
        <v>68</v>
      </c>
      <c r="C3" s="14">
        <v>15</v>
      </c>
      <c r="D3" s="15" t="str">
        <f t="shared" ref="D3:D5" si="0">IF(B3&lt;50,"failed",IF(C3&lt;10,"failed (because of quorum)","passed"))</f>
        <v>passed</v>
      </c>
    </row>
    <row r="4" spans="1:4" x14ac:dyDescent="0.2">
      <c r="A4" s="14">
        <v>3</v>
      </c>
      <c r="B4" s="14">
        <v>89</v>
      </c>
      <c r="C4" s="14">
        <v>8</v>
      </c>
      <c r="D4" s="15" t="str">
        <f t="shared" si="0"/>
        <v>failed (because of quorum)</v>
      </c>
    </row>
    <row r="5" spans="1:4" x14ac:dyDescent="0.2">
      <c r="A5" s="14">
        <v>4</v>
      </c>
      <c r="B5" s="14">
        <v>79</v>
      </c>
      <c r="C5" s="14">
        <v>12</v>
      </c>
      <c r="D5" s="15" t="str">
        <f t="shared" si="0"/>
        <v>passed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998D-A737-4F40-91F0-00694D232188}">
  <dimension ref="A1:F9"/>
  <sheetViews>
    <sheetView workbookViewId="0">
      <selection activeCell="F3" sqref="F3"/>
    </sheetView>
  </sheetViews>
  <sheetFormatPr defaultRowHeight="12.75" x14ac:dyDescent="0.2"/>
  <cols>
    <col min="1" max="1" width="9" bestFit="1" customWidth="1"/>
    <col min="2" max="2" width="11.7109375" bestFit="1" customWidth="1"/>
    <col min="3" max="3" width="7" bestFit="1" customWidth="1"/>
    <col min="4" max="4" width="3.42578125" customWidth="1"/>
    <col min="5" max="5" width="37" bestFit="1" customWidth="1"/>
    <col min="6" max="6" width="17.5703125" bestFit="1" customWidth="1"/>
  </cols>
  <sheetData>
    <row r="1" spans="1:6" x14ac:dyDescent="0.2">
      <c r="A1" s="57" t="s">
        <v>113</v>
      </c>
      <c r="B1" s="57" t="s">
        <v>145</v>
      </c>
      <c r="C1" s="57" t="s">
        <v>146</v>
      </c>
    </row>
    <row r="2" spans="1:6" x14ac:dyDescent="0.2">
      <c r="A2" s="10" t="s">
        <v>147</v>
      </c>
      <c r="B2" s="10" t="s">
        <v>148</v>
      </c>
      <c r="C2">
        <v>300000</v>
      </c>
      <c r="E2" s="10" t="s">
        <v>149</v>
      </c>
      <c r="F2">
        <f>COUNTIF(B2:B9,"Credit")</f>
        <v>2</v>
      </c>
    </row>
    <row r="3" spans="1:6" x14ac:dyDescent="0.2">
      <c r="A3" s="10" t="s">
        <v>150</v>
      </c>
      <c r="B3" s="10" t="s">
        <v>148</v>
      </c>
      <c r="C3">
        <v>270000</v>
      </c>
      <c r="E3" s="10" t="s">
        <v>151</v>
      </c>
      <c r="F3">
        <f>SUMIF(B2:B9,"Credit",C2:C9)</f>
        <v>375000</v>
      </c>
    </row>
    <row r="4" spans="1:6" x14ac:dyDescent="0.2">
      <c r="A4" s="10" t="s">
        <v>152</v>
      </c>
      <c r="B4" s="10" t="s">
        <v>153</v>
      </c>
      <c r="C4">
        <v>180000</v>
      </c>
      <c r="E4" s="10" t="s">
        <v>154</v>
      </c>
      <c r="F4">
        <f>AVERAGEIF(B2:B9,"Credit",C2:C9)</f>
        <v>187500</v>
      </c>
    </row>
    <row r="5" spans="1:6" x14ac:dyDescent="0.2">
      <c r="A5" s="10" t="s">
        <v>155</v>
      </c>
      <c r="B5" s="10" t="s">
        <v>156</v>
      </c>
      <c r="C5">
        <v>235000</v>
      </c>
      <c r="E5" s="10" t="s">
        <v>157</v>
      </c>
      <c r="F5">
        <f>COUNTIF(C2:C9,"&lt;200000")</f>
        <v>3</v>
      </c>
    </row>
    <row r="6" spans="1:6" x14ac:dyDescent="0.2">
      <c r="A6" s="10" t="s">
        <v>158</v>
      </c>
      <c r="B6" s="10" t="s">
        <v>159</v>
      </c>
      <c r="C6">
        <v>150000</v>
      </c>
      <c r="E6" s="10" t="s">
        <v>160</v>
      </c>
      <c r="F6">
        <f>SUMIF(C2:C9,"&lt;200000",C2:C9)</f>
        <v>525000</v>
      </c>
    </row>
    <row r="7" spans="1:6" x14ac:dyDescent="0.2">
      <c r="A7" s="10" t="s">
        <v>161</v>
      </c>
      <c r="B7" s="10" t="s">
        <v>148</v>
      </c>
      <c r="C7">
        <v>420000</v>
      </c>
      <c r="E7" s="10" t="s">
        <v>162</v>
      </c>
      <c r="F7">
        <f>AVERAGEIF(C2:C9,"&lt;200000",C2:C9)</f>
        <v>175000</v>
      </c>
    </row>
    <row r="8" spans="1:6" x14ac:dyDescent="0.2">
      <c r="A8" s="10" t="s">
        <v>163</v>
      </c>
      <c r="B8" s="10" t="s">
        <v>156</v>
      </c>
      <c r="C8">
        <v>305000</v>
      </c>
    </row>
    <row r="9" spans="1:6" x14ac:dyDescent="0.2">
      <c r="A9" s="10" t="s">
        <v>164</v>
      </c>
      <c r="B9" s="10" t="s">
        <v>153</v>
      </c>
      <c r="C9">
        <v>195000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28"/>
  <sheetViews>
    <sheetView workbookViewId="0">
      <selection activeCell="F28" sqref="F28"/>
    </sheetView>
  </sheetViews>
  <sheetFormatPr defaultColWidth="11.42578125" defaultRowHeight="12.75" x14ac:dyDescent="0.2"/>
  <cols>
    <col min="1" max="1" width="11.42578125" style="16"/>
    <col min="2" max="2" width="12.7109375" style="16" customWidth="1"/>
    <col min="3" max="5" width="11.42578125" style="16"/>
    <col min="6" max="6" width="12.42578125" style="16" customWidth="1"/>
    <col min="7" max="7" width="10.85546875" style="16" customWidth="1"/>
    <col min="8" max="16384" width="11.42578125" style="16"/>
  </cols>
  <sheetData>
    <row r="1" spans="2:8" ht="15.75" x14ac:dyDescent="0.25">
      <c r="B1" s="64" t="s">
        <v>31</v>
      </c>
      <c r="C1" s="64"/>
    </row>
    <row r="2" spans="2:8" x14ac:dyDescent="0.2">
      <c r="B2" s="17" t="s">
        <v>32</v>
      </c>
      <c r="C2" s="17" t="s">
        <v>33</v>
      </c>
      <c r="H2" s="23"/>
    </row>
    <row r="3" spans="2:8" x14ac:dyDescent="0.2">
      <c r="B3" s="16" t="s">
        <v>34</v>
      </c>
      <c r="C3" s="16">
        <v>1.25</v>
      </c>
    </row>
    <row r="4" spans="2:8" x14ac:dyDescent="0.2">
      <c r="B4" s="16" t="s">
        <v>35</v>
      </c>
      <c r="C4" s="16">
        <v>1.5</v>
      </c>
    </row>
    <row r="5" spans="2:8" x14ac:dyDescent="0.2">
      <c r="B5" s="16" t="s">
        <v>36</v>
      </c>
      <c r="C5" s="16">
        <v>2.5</v>
      </c>
      <c r="H5" s="17"/>
    </row>
    <row r="6" spans="2:8" x14ac:dyDescent="0.2">
      <c r="B6" s="16" t="s">
        <v>37</v>
      </c>
      <c r="C6" s="16">
        <v>0.75</v>
      </c>
    </row>
    <row r="7" spans="2:8" ht="15" customHeight="1" x14ac:dyDescent="0.2">
      <c r="B7" s="16" t="s">
        <v>38</v>
      </c>
      <c r="C7" s="16">
        <v>1.75</v>
      </c>
    </row>
    <row r="9" spans="2:8" ht="15.75" x14ac:dyDescent="0.25">
      <c r="C9" s="64" t="s">
        <v>39</v>
      </c>
      <c r="D9" s="64"/>
      <c r="E9" s="64"/>
      <c r="F9" s="64"/>
    </row>
    <row r="10" spans="2:8" x14ac:dyDescent="0.2">
      <c r="C10" s="17" t="s">
        <v>40</v>
      </c>
      <c r="D10" s="17" t="s">
        <v>41</v>
      </c>
      <c r="E10" s="17" t="s">
        <v>42</v>
      </c>
      <c r="F10" s="17" t="s">
        <v>43</v>
      </c>
    </row>
    <row r="11" spans="2:8" x14ac:dyDescent="0.2">
      <c r="C11" s="16" t="s">
        <v>34</v>
      </c>
      <c r="D11" s="16">
        <v>1</v>
      </c>
      <c r="E11" s="16">
        <f>VLOOKUP(C11,$B$3:$C$7,2,FALSE)</f>
        <v>1.25</v>
      </c>
      <c r="F11" s="16">
        <f>D11*E11</f>
        <v>1.25</v>
      </c>
    </row>
    <row r="12" spans="2:8" x14ac:dyDescent="0.2">
      <c r="C12" s="16" t="s">
        <v>37</v>
      </c>
      <c r="D12" s="16">
        <v>2</v>
      </c>
      <c r="E12" s="16">
        <f t="shared" ref="E12:E28" si="0">VLOOKUP(C12,$B$3:$C$7,2,FALSE)</f>
        <v>0.75</v>
      </c>
      <c r="F12" s="16">
        <f t="shared" ref="F12:F28" si="1">D12*E12</f>
        <v>1.5</v>
      </c>
    </row>
    <row r="13" spans="2:8" x14ac:dyDescent="0.2">
      <c r="C13" s="16" t="s">
        <v>35</v>
      </c>
      <c r="D13" s="16">
        <v>2</v>
      </c>
      <c r="E13" s="16">
        <f t="shared" si="0"/>
        <v>1.5</v>
      </c>
      <c r="F13" s="16">
        <f t="shared" si="1"/>
        <v>3</v>
      </c>
    </row>
    <row r="14" spans="2:8" x14ac:dyDescent="0.2">
      <c r="C14" s="16" t="s">
        <v>34</v>
      </c>
      <c r="D14" s="16">
        <v>1</v>
      </c>
      <c r="E14" s="16">
        <f t="shared" si="0"/>
        <v>1.25</v>
      </c>
      <c r="F14" s="16">
        <f t="shared" si="1"/>
        <v>1.25</v>
      </c>
    </row>
    <row r="15" spans="2:8" x14ac:dyDescent="0.2">
      <c r="C15" s="16" t="s">
        <v>35</v>
      </c>
      <c r="D15" s="16">
        <v>4</v>
      </c>
      <c r="E15" s="16">
        <f t="shared" si="0"/>
        <v>1.5</v>
      </c>
      <c r="F15" s="16">
        <f t="shared" si="1"/>
        <v>6</v>
      </c>
    </row>
    <row r="16" spans="2:8" x14ac:dyDescent="0.2">
      <c r="C16" s="16" t="s">
        <v>34</v>
      </c>
      <c r="D16" s="16">
        <v>2</v>
      </c>
      <c r="E16" s="16">
        <f t="shared" si="0"/>
        <v>1.25</v>
      </c>
      <c r="F16" s="16">
        <f t="shared" si="1"/>
        <v>2.5</v>
      </c>
    </row>
    <row r="17" spans="3:6" x14ac:dyDescent="0.2">
      <c r="C17" s="16" t="s">
        <v>36</v>
      </c>
      <c r="D17" s="16">
        <v>1</v>
      </c>
      <c r="E17" s="16">
        <f t="shared" si="0"/>
        <v>2.5</v>
      </c>
      <c r="F17" s="16">
        <f t="shared" si="1"/>
        <v>2.5</v>
      </c>
    </row>
    <row r="18" spans="3:6" x14ac:dyDescent="0.2">
      <c r="C18" s="16" t="s">
        <v>35</v>
      </c>
      <c r="D18" s="16">
        <v>3</v>
      </c>
      <c r="E18" s="16">
        <f t="shared" si="0"/>
        <v>1.5</v>
      </c>
      <c r="F18" s="16">
        <f t="shared" si="1"/>
        <v>4.5</v>
      </c>
    </row>
    <row r="19" spans="3:6" x14ac:dyDescent="0.2">
      <c r="C19" s="16" t="s">
        <v>37</v>
      </c>
      <c r="D19" s="16">
        <v>2</v>
      </c>
      <c r="E19" s="16">
        <f t="shared" si="0"/>
        <v>0.75</v>
      </c>
      <c r="F19" s="16">
        <f t="shared" si="1"/>
        <v>1.5</v>
      </c>
    </row>
    <row r="20" spans="3:6" x14ac:dyDescent="0.2">
      <c r="C20" s="16" t="s">
        <v>36</v>
      </c>
      <c r="D20" s="16">
        <v>2</v>
      </c>
      <c r="E20" s="16">
        <f t="shared" si="0"/>
        <v>2.5</v>
      </c>
      <c r="F20" s="16">
        <f t="shared" si="1"/>
        <v>5</v>
      </c>
    </row>
    <row r="21" spans="3:6" x14ac:dyDescent="0.2">
      <c r="C21" s="16" t="s">
        <v>35</v>
      </c>
      <c r="D21" s="16">
        <v>3</v>
      </c>
      <c r="E21" s="16">
        <f t="shared" si="0"/>
        <v>1.5</v>
      </c>
      <c r="F21" s="16">
        <f t="shared" si="1"/>
        <v>4.5</v>
      </c>
    </row>
    <row r="22" spans="3:6" x14ac:dyDescent="0.2">
      <c r="C22" s="16" t="s">
        <v>35</v>
      </c>
      <c r="D22" s="16">
        <v>1</v>
      </c>
      <c r="E22" s="16">
        <f t="shared" si="0"/>
        <v>1.5</v>
      </c>
      <c r="F22" s="16">
        <f t="shared" si="1"/>
        <v>1.5</v>
      </c>
    </row>
    <row r="23" spans="3:6" x14ac:dyDescent="0.2">
      <c r="C23" s="16" t="s">
        <v>37</v>
      </c>
      <c r="D23" s="16">
        <v>1</v>
      </c>
      <c r="E23" s="16">
        <f t="shared" si="0"/>
        <v>0.75</v>
      </c>
      <c r="F23" s="16">
        <f t="shared" si="1"/>
        <v>0.75</v>
      </c>
    </row>
    <row r="24" spans="3:6" x14ac:dyDescent="0.2">
      <c r="C24" s="16" t="s">
        <v>38</v>
      </c>
      <c r="D24" s="16">
        <v>1</v>
      </c>
      <c r="E24" s="16">
        <f t="shared" si="0"/>
        <v>1.75</v>
      </c>
      <c r="F24" s="16">
        <f t="shared" si="1"/>
        <v>1.75</v>
      </c>
    </row>
    <row r="25" spans="3:6" x14ac:dyDescent="0.2">
      <c r="C25" s="16" t="s">
        <v>36</v>
      </c>
      <c r="D25" s="16">
        <v>3</v>
      </c>
      <c r="E25" s="16">
        <f t="shared" si="0"/>
        <v>2.5</v>
      </c>
      <c r="F25" s="16">
        <f t="shared" si="1"/>
        <v>7.5</v>
      </c>
    </row>
    <row r="26" spans="3:6" x14ac:dyDescent="0.2">
      <c r="C26" s="16" t="s">
        <v>37</v>
      </c>
      <c r="D26" s="16">
        <v>1</v>
      </c>
      <c r="E26" s="16">
        <f t="shared" si="0"/>
        <v>0.75</v>
      </c>
      <c r="F26" s="16">
        <f t="shared" si="1"/>
        <v>0.75</v>
      </c>
    </row>
    <row r="27" spans="3:6" x14ac:dyDescent="0.2">
      <c r="C27" s="16" t="s">
        <v>36</v>
      </c>
      <c r="D27" s="16">
        <v>1</v>
      </c>
      <c r="E27" s="16">
        <f t="shared" si="0"/>
        <v>2.5</v>
      </c>
      <c r="F27" s="16">
        <f t="shared" si="1"/>
        <v>2.5</v>
      </c>
    </row>
    <row r="28" spans="3:6" x14ac:dyDescent="0.2">
      <c r="C28" s="16" t="s">
        <v>38</v>
      </c>
      <c r="D28" s="16">
        <v>2</v>
      </c>
      <c r="E28" s="16">
        <f t="shared" si="0"/>
        <v>1.75</v>
      </c>
      <c r="F28" s="16">
        <f t="shared" si="1"/>
        <v>3.5</v>
      </c>
    </row>
  </sheetData>
  <mergeCells count="2">
    <mergeCell ref="B1:C1"/>
    <mergeCell ref="C9:F9"/>
  </mergeCells>
  <pageMargins left="0.78740157499999996" right="0.78740157499999996" top="0.984251969" bottom="0.984251969" header="0.4921259845" footer="0.4921259845"/>
  <pageSetup paperSize="9" orientation="portrait" copies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25"/>
  <sheetViews>
    <sheetView workbookViewId="0">
      <selection activeCell="F32" sqref="F32"/>
    </sheetView>
  </sheetViews>
  <sheetFormatPr defaultColWidth="11.42578125" defaultRowHeight="15.75" x14ac:dyDescent="0.25"/>
  <cols>
    <col min="1" max="6" width="11.42578125" style="30"/>
    <col min="7" max="7" width="15" style="30" customWidth="1"/>
    <col min="8" max="16384" width="11.42578125" style="30"/>
  </cols>
  <sheetData>
    <row r="2" spans="2:8" x14ac:dyDescent="0.25">
      <c r="B2" s="33" t="s">
        <v>51</v>
      </c>
      <c r="C2" s="34" t="s">
        <v>52</v>
      </c>
      <c r="D2" s="34" t="s">
        <v>53</v>
      </c>
      <c r="E2" s="35" t="s">
        <v>39</v>
      </c>
      <c r="F2" s="35" t="s">
        <v>87</v>
      </c>
      <c r="G2" s="35" t="s">
        <v>97</v>
      </c>
      <c r="H2" s="35" t="s">
        <v>98</v>
      </c>
    </row>
    <row r="3" spans="2:8" x14ac:dyDescent="0.25">
      <c r="B3" s="37">
        <v>1</v>
      </c>
      <c r="C3" s="38" t="s">
        <v>55</v>
      </c>
      <c r="D3" s="38" t="s">
        <v>56</v>
      </c>
      <c r="E3" s="39">
        <v>2345</v>
      </c>
      <c r="F3" s="38" t="s">
        <v>99</v>
      </c>
      <c r="G3" s="38" t="str">
        <f>_xlfn.XLOOKUP(F3,$B$20:$B$22,$C$20:$C$22)</f>
        <v>Pen</v>
      </c>
      <c r="H3" s="38" t="str">
        <f>_xlfn.XLOOKUP(F3,$E$20:$E$22,$F$20:$F$22)</f>
        <v>red</v>
      </c>
    </row>
    <row r="4" spans="2:8" x14ac:dyDescent="0.25">
      <c r="B4" s="40">
        <v>2</v>
      </c>
      <c r="C4" s="41" t="s">
        <v>58</v>
      </c>
      <c r="D4" s="41" t="s">
        <v>59</v>
      </c>
      <c r="E4" s="42">
        <v>4355</v>
      </c>
      <c r="F4" s="41" t="s">
        <v>100</v>
      </c>
      <c r="G4" s="38" t="str">
        <f t="shared" ref="G4:G17" si="0">_xlfn.XLOOKUP(F4,$B$20:$B$22,$C$20:$C$22)</f>
        <v>Cup</v>
      </c>
      <c r="H4" s="38" t="str">
        <f t="shared" ref="H4:H17" si="1">_xlfn.XLOOKUP(F4,$E$20:$E$22,$F$20:$F$22)</f>
        <v>golden</v>
      </c>
    </row>
    <row r="5" spans="2:8" x14ac:dyDescent="0.25">
      <c r="B5" s="37">
        <v>3</v>
      </c>
      <c r="C5" s="38" t="s">
        <v>61</v>
      </c>
      <c r="D5" s="38" t="s">
        <v>62</v>
      </c>
      <c r="E5" s="39">
        <v>6543</v>
      </c>
      <c r="F5" s="38" t="s">
        <v>101</v>
      </c>
      <c r="G5" s="38" t="str">
        <f t="shared" si="0"/>
        <v>Voucher</v>
      </c>
      <c r="H5" s="38" t="str">
        <f t="shared" si="1"/>
        <v>fancy</v>
      </c>
    </row>
    <row r="6" spans="2:8" x14ac:dyDescent="0.25">
      <c r="B6" s="40">
        <v>4</v>
      </c>
      <c r="C6" s="41" t="s">
        <v>64</v>
      </c>
      <c r="D6" s="41" t="s">
        <v>65</v>
      </c>
      <c r="E6" s="42">
        <v>2857</v>
      </c>
      <c r="F6" s="41" t="s">
        <v>99</v>
      </c>
      <c r="G6" s="38" t="str">
        <f t="shared" si="0"/>
        <v>Pen</v>
      </c>
      <c r="H6" s="38" t="str">
        <f t="shared" si="1"/>
        <v>red</v>
      </c>
    </row>
    <row r="7" spans="2:8" x14ac:dyDescent="0.25">
      <c r="B7" s="37">
        <v>5</v>
      </c>
      <c r="C7" s="38" t="s">
        <v>66</v>
      </c>
      <c r="D7" s="38" t="s">
        <v>67</v>
      </c>
      <c r="E7" s="39">
        <v>2113</v>
      </c>
      <c r="F7" s="38" t="s">
        <v>99</v>
      </c>
      <c r="G7" s="38" t="str">
        <f t="shared" si="0"/>
        <v>Pen</v>
      </c>
      <c r="H7" s="38" t="str">
        <f t="shared" si="1"/>
        <v>red</v>
      </c>
    </row>
    <row r="8" spans="2:8" x14ac:dyDescent="0.25">
      <c r="B8" s="40">
        <v>6</v>
      </c>
      <c r="C8" s="41" t="s">
        <v>68</v>
      </c>
      <c r="D8" s="41" t="s">
        <v>69</v>
      </c>
      <c r="E8" s="42">
        <v>1167</v>
      </c>
      <c r="F8" s="41" t="s">
        <v>99</v>
      </c>
      <c r="G8" s="38" t="str">
        <f t="shared" si="0"/>
        <v>Pen</v>
      </c>
      <c r="H8" s="38" t="str">
        <f t="shared" si="1"/>
        <v>red</v>
      </c>
    </row>
    <row r="9" spans="2:8" x14ac:dyDescent="0.25">
      <c r="B9" s="37">
        <v>7</v>
      </c>
      <c r="C9" s="38" t="s">
        <v>70</v>
      </c>
      <c r="D9" s="38" t="s">
        <v>71</v>
      </c>
      <c r="E9" s="39">
        <v>9823</v>
      </c>
      <c r="F9" s="38" t="s">
        <v>101</v>
      </c>
      <c r="G9" s="38" t="str">
        <f t="shared" si="0"/>
        <v>Voucher</v>
      </c>
      <c r="H9" s="38" t="str">
        <f t="shared" si="1"/>
        <v>fancy</v>
      </c>
    </row>
    <row r="10" spans="2:8" x14ac:dyDescent="0.25">
      <c r="B10" s="40">
        <v>8</v>
      </c>
      <c r="C10" s="41" t="s">
        <v>72</v>
      </c>
      <c r="D10" s="41" t="s">
        <v>73</v>
      </c>
      <c r="E10" s="42">
        <v>3421</v>
      </c>
      <c r="F10" s="41" t="s">
        <v>100</v>
      </c>
      <c r="G10" s="38" t="str">
        <f t="shared" si="0"/>
        <v>Cup</v>
      </c>
      <c r="H10" s="38" t="str">
        <f t="shared" si="1"/>
        <v>golden</v>
      </c>
    </row>
    <row r="11" spans="2:8" x14ac:dyDescent="0.25">
      <c r="B11" s="37">
        <v>9</v>
      </c>
      <c r="C11" s="38" t="s">
        <v>74</v>
      </c>
      <c r="D11" s="38" t="s">
        <v>75</v>
      </c>
      <c r="E11" s="39">
        <v>7654</v>
      </c>
      <c r="F11" s="38" t="s">
        <v>101</v>
      </c>
      <c r="G11" s="38" t="str">
        <f t="shared" si="0"/>
        <v>Voucher</v>
      </c>
      <c r="H11" s="38" t="str">
        <f t="shared" si="1"/>
        <v>fancy</v>
      </c>
    </row>
    <row r="12" spans="2:8" x14ac:dyDescent="0.25">
      <c r="B12" s="40">
        <v>10</v>
      </c>
      <c r="C12" s="41" t="s">
        <v>76</v>
      </c>
      <c r="D12" s="41" t="s">
        <v>77</v>
      </c>
      <c r="E12" s="42">
        <v>2351</v>
      </c>
      <c r="F12" s="41" t="s">
        <v>99</v>
      </c>
      <c r="G12" s="38" t="str">
        <f t="shared" si="0"/>
        <v>Pen</v>
      </c>
      <c r="H12" s="38" t="str">
        <f t="shared" si="1"/>
        <v>red</v>
      </c>
    </row>
    <row r="13" spans="2:8" x14ac:dyDescent="0.25">
      <c r="B13" s="37">
        <v>11</v>
      </c>
      <c r="C13" s="38" t="s">
        <v>78</v>
      </c>
      <c r="D13" s="38" t="s">
        <v>65</v>
      </c>
      <c r="E13" s="39">
        <v>9567</v>
      </c>
      <c r="F13" s="38" t="s">
        <v>101</v>
      </c>
      <c r="G13" s="38" t="str">
        <f t="shared" si="0"/>
        <v>Voucher</v>
      </c>
      <c r="H13" s="38" t="str">
        <f t="shared" si="1"/>
        <v>fancy</v>
      </c>
    </row>
    <row r="14" spans="2:8" x14ac:dyDescent="0.25">
      <c r="B14" s="40">
        <v>12</v>
      </c>
      <c r="C14" s="41" t="s">
        <v>79</v>
      </c>
      <c r="D14" s="41" t="s">
        <v>80</v>
      </c>
      <c r="E14" s="42">
        <v>5765</v>
      </c>
      <c r="F14" s="41" t="s">
        <v>101</v>
      </c>
      <c r="G14" s="38" t="str">
        <f t="shared" si="0"/>
        <v>Voucher</v>
      </c>
      <c r="H14" s="38" t="str">
        <f t="shared" si="1"/>
        <v>fancy</v>
      </c>
    </row>
    <row r="15" spans="2:8" x14ac:dyDescent="0.25">
      <c r="B15" s="37">
        <v>13</v>
      </c>
      <c r="C15" s="38" t="s">
        <v>81</v>
      </c>
      <c r="D15" s="38" t="s">
        <v>82</v>
      </c>
      <c r="E15" s="39">
        <v>4706</v>
      </c>
      <c r="F15" s="38" t="s">
        <v>100</v>
      </c>
      <c r="G15" s="38" t="str">
        <f t="shared" si="0"/>
        <v>Cup</v>
      </c>
      <c r="H15" s="38" t="str">
        <f t="shared" si="1"/>
        <v>golden</v>
      </c>
    </row>
    <row r="16" spans="2:8" x14ac:dyDescent="0.25">
      <c r="B16" s="40">
        <v>14</v>
      </c>
      <c r="C16" s="41" t="s">
        <v>83</v>
      </c>
      <c r="D16" s="41" t="s">
        <v>84</v>
      </c>
      <c r="E16" s="42">
        <v>9887</v>
      </c>
      <c r="F16" s="41" t="s">
        <v>101</v>
      </c>
      <c r="G16" s="38" t="str">
        <f t="shared" si="0"/>
        <v>Voucher</v>
      </c>
      <c r="H16" s="38" t="str">
        <f t="shared" si="1"/>
        <v>fancy</v>
      </c>
    </row>
    <row r="17" spans="2:10" x14ac:dyDescent="0.25">
      <c r="B17" s="37">
        <v>15</v>
      </c>
      <c r="C17" s="38" t="s">
        <v>85</v>
      </c>
      <c r="D17" s="38" t="s">
        <v>86</v>
      </c>
      <c r="E17" s="39">
        <v>2342</v>
      </c>
      <c r="F17" s="38" t="s">
        <v>99</v>
      </c>
      <c r="G17" s="38" t="str">
        <f t="shared" si="0"/>
        <v>Pen</v>
      </c>
      <c r="H17" s="38" t="str">
        <f t="shared" si="1"/>
        <v>red</v>
      </c>
    </row>
    <row r="18" spans="2:10" x14ac:dyDescent="0.25">
      <c r="B18" s="36"/>
      <c r="C18" s="36"/>
      <c r="D18" s="36"/>
      <c r="E18" s="36"/>
      <c r="F18" s="36"/>
      <c r="G18" s="36"/>
      <c r="H18" s="36"/>
    </row>
    <row r="19" spans="2:10" x14ac:dyDescent="0.25">
      <c r="B19" s="65" t="s">
        <v>97</v>
      </c>
      <c r="C19" s="66"/>
      <c r="D19" s="36"/>
      <c r="E19" s="35" t="s">
        <v>98</v>
      </c>
      <c r="F19" s="36"/>
      <c r="G19" s="36"/>
      <c r="H19" s="36"/>
    </row>
    <row r="20" spans="2:10" x14ac:dyDescent="0.25">
      <c r="B20" s="47" t="s">
        <v>99</v>
      </c>
      <c r="C20" s="47" t="s">
        <v>102</v>
      </c>
      <c r="D20" s="36"/>
      <c r="E20" s="47" t="s">
        <v>99</v>
      </c>
      <c r="F20" s="47" t="s">
        <v>103</v>
      </c>
      <c r="G20" s="36"/>
      <c r="H20" s="36"/>
    </row>
    <row r="21" spans="2:10" x14ac:dyDescent="0.25">
      <c r="B21" s="48" t="s">
        <v>100</v>
      </c>
      <c r="C21" s="36" t="s">
        <v>104</v>
      </c>
      <c r="D21" s="36"/>
      <c r="E21" s="48" t="s">
        <v>100</v>
      </c>
      <c r="F21" s="36" t="s">
        <v>105</v>
      </c>
      <c r="G21" s="36"/>
      <c r="H21" s="36"/>
    </row>
    <row r="22" spans="2:10" x14ac:dyDescent="0.25">
      <c r="B22" s="47" t="s">
        <v>101</v>
      </c>
      <c r="C22" s="47" t="s">
        <v>106</v>
      </c>
      <c r="D22" s="36"/>
      <c r="E22" s="47" t="s">
        <v>101</v>
      </c>
      <c r="F22" s="47" t="s">
        <v>107</v>
      </c>
      <c r="G22" s="36"/>
      <c r="H22" s="36"/>
    </row>
    <row r="24" spans="2:10" x14ac:dyDescent="0.25">
      <c r="G24" s="30" t="s">
        <v>139</v>
      </c>
      <c r="J24" s="30" t="s">
        <v>141</v>
      </c>
    </row>
    <row r="25" spans="2:10" x14ac:dyDescent="0.25">
      <c r="G25" s="30" t="s">
        <v>138</v>
      </c>
      <c r="J25" s="30" t="s">
        <v>140</v>
      </c>
    </row>
  </sheetData>
  <mergeCells count="1">
    <mergeCell ref="B19:C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workbookViewId="0">
      <selection activeCell="E18" sqref="E18"/>
    </sheetView>
  </sheetViews>
  <sheetFormatPr defaultColWidth="9.140625" defaultRowHeight="12.75" x14ac:dyDescent="0.2"/>
  <cols>
    <col min="1" max="1" width="9.7109375" style="16" bestFit="1" customWidth="1"/>
    <col min="2" max="4" width="9.5703125" style="16" customWidth="1"/>
    <col min="5" max="5" width="7.140625" style="16" customWidth="1"/>
    <col min="6" max="6" width="9.42578125" style="16" customWidth="1"/>
    <col min="7" max="7" width="8" style="16" customWidth="1"/>
    <col min="8" max="16384" width="9.140625" style="16"/>
  </cols>
  <sheetData>
    <row r="1" spans="1:8" s="17" customFormat="1" x14ac:dyDescent="0.2">
      <c r="A1" s="18" t="s">
        <v>16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24</v>
      </c>
      <c r="G1" s="18" t="s">
        <v>25</v>
      </c>
    </row>
    <row r="2" spans="1:8" x14ac:dyDescent="0.2">
      <c r="A2" s="19">
        <v>1</v>
      </c>
      <c r="B2" s="19">
        <v>78</v>
      </c>
      <c r="C2" s="19">
        <v>10</v>
      </c>
      <c r="D2" s="19">
        <v>93</v>
      </c>
      <c r="E2" s="19">
        <v>11</v>
      </c>
      <c r="F2" s="19">
        <v>85</v>
      </c>
      <c r="G2" s="19">
        <v>13</v>
      </c>
    </row>
    <row r="3" spans="1:8" x14ac:dyDescent="0.2">
      <c r="A3" s="19">
        <v>2</v>
      </c>
      <c r="B3" s="19">
        <v>89</v>
      </c>
      <c r="C3" s="19">
        <v>15</v>
      </c>
      <c r="D3" s="19">
        <v>88</v>
      </c>
      <c r="E3" s="19">
        <v>11</v>
      </c>
      <c r="F3" s="19">
        <v>83</v>
      </c>
      <c r="G3" s="19">
        <v>15</v>
      </c>
    </row>
    <row r="4" spans="1:8" x14ac:dyDescent="0.2">
      <c r="A4" s="25">
        <v>3</v>
      </c>
      <c r="B4" s="25">
        <v>84</v>
      </c>
      <c r="C4" s="25">
        <v>12</v>
      </c>
      <c r="D4" s="25">
        <v>76</v>
      </c>
      <c r="E4" s="25">
        <v>15</v>
      </c>
      <c r="F4" s="25">
        <v>55</v>
      </c>
      <c r="G4" s="25">
        <v>14</v>
      </c>
    </row>
    <row r="5" spans="1:8" x14ac:dyDescent="0.2">
      <c r="A5" s="19">
        <v>4</v>
      </c>
      <c r="B5" s="19">
        <v>64</v>
      </c>
      <c r="C5" s="19">
        <v>13</v>
      </c>
      <c r="D5" s="19">
        <v>72</v>
      </c>
      <c r="E5" s="19">
        <v>14</v>
      </c>
      <c r="F5" s="19">
        <v>79</v>
      </c>
      <c r="G5" s="19">
        <v>14</v>
      </c>
    </row>
    <row r="6" spans="1:8" x14ac:dyDescent="0.2">
      <c r="A6" s="19">
        <v>5</v>
      </c>
      <c r="B6" s="19">
        <v>77</v>
      </c>
      <c r="C6" s="19">
        <v>15</v>
      </c>
      <c r="D6" s="19">
        <v>85</v>
      </c>
      <c r="E6" s="19">
        <v>13</v>
      </c>
      <c r="F6" s="19">
        <v>82</v>
      </c>
      <c r="G6" s="19">
        <v>14</v>
      </c>
    </row>
    <row r="7" spans="1:8" x14ac:dyDescent="0.2">
      <c r="A7" s="19">
        <v>6</v>
      </c>
      <c r="B7" s="19">
        <v>92</v>
      </c>
      <c r="C7" s="19">
        <v>15</v>
      </c>
      <c r="D7" s="19">
        <v>90</v>
      </c>
      <c r="E7" s="19">
        <v>15</v>
      </c>
      <c r="F7" s="19">
        <v>67</v>
      </c>
      <c r="G7" s="19">
        <v>8</v>
      </c>
    </row>
    <row r="8" spans="1:8" x14ac:dyDescent="0.2">
      <c r="A8" s="19">
        <v>7</v>
      </c>
      <c r="B8" s="19">
        <v>65</v>
      </c>
      <c r="C8" s="19">
        <v>9</v>
      </c>
      <c r="D8" s="19">
        <v>87</v>
      </c>
      <c r="E8" s="19">
        <v>11</v>
      </c>
      <c r="F8" s="19">
        <v>77</v>
      </c>
      <c r="G8" s="19">
        <v>0</v>
      </c>
    </row>
    <row r="9" spans="1:8" x14ac:dyDescent="0.2">
      <c r="A9" s="19">
        <v>8</v>
      </c>
      <c r="B9" s="19">
        <v>58</v>
      </c>
      <c r="C9" s="19">
        <v>12</v>
      </c>
      <c r="D9" s="19">
        <v>91</v>
      </c>
      <c r="E9" s="19">
        <v>10</v>
      </c>
      <c r="F9" s="19">
        <v>65</v>
      </c>
      <c r="G9" s="19">
        <v>12</v>
      </c>
    </row>
    <row r="10" spans="1:8" x14ac:dyDescent="0.2">
      <c r="A10" s="19">
        <v>9</v>
      </c>
      <c r="B10" s="19">
        <v>81</v>
      </c>
      <c r="C10" s="19">
        <v>8</v>
      </c>
      <c r="D10" s="19">
        <v>79</v>
      </c>
      <c r="E10" s="19">
        <v>9</v>
      </c>
      <c r="F10" s="19">
        <v>88</v>
      </c>
      <c r="G10" s="19">
        <v>12</v>
      </c>
    </row>
    <row r="11" spans="1:8" x14ac:dyDescent="0.2">
      <c r="A11" s="19">
        <v>10</v>
      </c>
      <c r="B11" s="19">
        <v>91</v>
      </c>
      <c r="C11" s="19">
        <v>14</v>
      </c>
      <c r="D11" s="19">
        <v>83</v>
      </c>
      <c r="E11" s="19">
        <v>14</v>
      </c>
      <c r="F11" s="19">
        <v>78</v>
      </c>
      <c r="G11" s="19">
        <v>15</v>
      </c>
    </row>
    <row r="12" spans="1:8" x14ac:dyDescent="0.2">
      <c r="A12" s="20"/>
      <c r="B12" s="20"/>
      <c r="C12" s="20"/>
      <c r="D12" s="24"/>
      <c r="E12" s="24"/>
      <c r="F12" s="24"/>
      <c r="G12" s="20"/>
    </row>
    <row r="13" spans="1:8" x14ac:dyDescent="0.2">
      <c r="A13" s="20"/>
      <c r="B13" s="20"/>
      <c r="C13" s="20"/>
      <c r="D13" s="20"/>
      <c r="E13" s="21" t="s">
        <v>16</v>
      </c>
      <c r="F13" s="19">
        <v>3</v>
      </c>
      <c r="G13" s="20"/>
    </row>
    <row r="14" spans="1:8" x14ac:dyDescent="0.2">
      <c r="A14" s="20"/>
      <c r="B14" s="20"/>
      <c r="C14" s="20"/>
      <c r="D14" s="21" t="s">
        <v>26</v>
      </c>
      <c r="E14" s="22">
        <v>0.3</v>
      </c>
      <c r="F14" s="26">
        <f>_xlfn.XLOOKUP($F$13,$A$2:$A$11,$B$2:$B$11)*0.3</f>
        <v>25.2</v>
      </c>
      <c r="G14" s="20"/>
      <c r="H14" s="16" t="s">
        <v>142</v>
      </c>
    </row>
    <row r="15" spans="1:8" x14ac:dyDescent="0.2">
      <c r="A15" s="20"/>
      <c r="B15" s="20"/>
      <c r="C15" s="20"/>
      <c r="D15" s="21" t="s">
        <v>27</v>
      </c>
      <c r="E15" s="22">
        <v>0.3</v>
      </c>
      <c r="F15" s="26">
        <f>_xlfn.XLOOKUP($F$13,$A$2:$A$11,$D$2:$D$11)*0.3</f>
        <v>22.8</v>
      </c>
      <c r="G15" s="20"/>
      <c r="H15" s="16" t="s">
        <v>143</v>
      </c>
    </row>
    <row r="16" spans="1:8" x14ac:dyDescent="0.2">
      <c r="A16" s="20"/>
      <c r="B16" s="20"/>
      <c r="C16" s="20"/>
      <c r="D16" s="21" t="s">
        <v>28</v>
      </c>
      <c r="E16" s="22">
        <v>0.3</v>
      </c>
      <c r="F16" s="26">
        <f>_xlfn.XLOOKUP($F$13,$A$2:$A$11,$F$2:$F$11)*0.3</f>
        <v>16.5</v>
      </c>
      <c r="G16" s="20"/>
      <c r="H16" s="16" t="s">
        <v>144</v>
      </c>
    </row>
    <row r="17" spans="1:8" x14ac:dyDescent="0.2">
      <c r="A17" s="20"/>
      <c r="B17" s="20"/>
      <c r="C17" s="20"/>
      <c r="D17" s="21" t="s">
        <v>29</v>
      </c>
      <c r="E17" s="22">
        <v>0.1</v>
      </c>
      <c r="F17" s="26">
        <f>AVERAGE(VLOOKUP($F$13,$A$2:$G$11,3,FALSE),VLOOKUP($F$13,$A$2:$G$11,5,FALSE),VLOOKUP($F$13,$A$2:$G$11,7,FALSE))/15*10</f>
        <v>9.1111111111111107</v>
      </c>
      <c r="G17" s="20"/>
      <c r="H17" s="16" t="s">
        <v>165</v>
      </c>
    </row>
    <row r="18" spans="1:8" x14ac:dyDescent="0.2">
      <c r="E18" s="21" t="s">
        <v>30</v>
      </c>
      <c r="F18" s="27">
        <f>SUM(F14:F17)</f>
        <v>73.611111111111114</v>
      </c>
    </row>
    <row r="33" spans="11:11" x14ac:dyDescent="0.2">
      <c r="K33" s="20"/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>
      <selection activeCell="L27" sqref="L27"/>
    </sheetView>
  </sheetViews>
  <sheetFormatPr defaultColWidth="11.42578125" defaultRowHeight="15" x14ac:dyDescent="0.25"/>
  <cols>
    <col min="1" max="1" width="11.42578125" style="50"/>
    <col min="2" max="2" width="12.28515625" style="50" customWidth="1"/>
    <col min="3" max="3" width="13.28515625" style="50" customWidth="1"/>
    <col min="4" max="4" width="14.28515625" style="50" customWidth="1"/>
    <col min="5" max="16384" width="11.42578125" style="50"/>
  </cols>
  <sheetData>
    <row r="1" spans="1:5" x14ac:dyDescent="0.25">
      <c r="A1" s="49" t="s">
        <v>113</v>
      </c>
      <c r="B1" s="49" t="s">
        <v>114</v>
      </c>
      <c r="C1" s="49" t="s">
        <v>115</v>
      </c>
      <c r="D1" s="49" t="s">
        <v>116</v>
      </c>
      <c r="E1" s="49" t="s">
        <v>117</v>
      </c>
    </row>
    <row r="2" spans="1:5" x14ac:dyDescent="0.25">
      <c r="A2" s="51" t="s">
        <v>118</v>
      </c>
      <c r="B2" s="51">
        <v>36596</v>
      </c>
      <c r="C2" s="51" t="s">
        <v>119</v>
      </c>
      <c r="D2" s="51" t="s">
        <v>120</v>
      </c>
      <c r="E2" s="51" t="s">
        <v>121</v>
      </c>
    </row>
    <row r="3" spans="1:5" x14ac:dyDescent="0.25">
      <c r="A3" s="51" t="s">
        <v>122</v>
      </c>
      <c r="B3" s="51">
        <v>86598</v>
      </c>
      <c r="C3" s="51" t="s">
        <v>123</v>
      </c>
      <c r="D3" s="51" t="s">
        <v>124</v>
      </c>
      <c r="E3" s="51" t="s">
        <v>125</v>
      </c>
    </row>
    <row r="4" spans="1:5" x14ac:dyDescent="0.25">
      <c r="A4" s="51" t="s">
        <v>126</v>
      </c>
      <c r="B4" s="51">
        <v>58971</v>
      </c>
      <c r="C4" s="51" t="s">
        <v>127</v>
      </c>
      <c r="D4" s="51" t="s">
        <v>128</v>
      </c>
      <c r="E4" s="51" t="s">
        <v>129</v>
      </c>
    </row>
    <row r="5" spans="1:5" x14ac:dyDescent="0.25">
      <c r="A5" s="51" t="s">
        <v>130</v>
      </c>
      <c r="B5" s="51">
        <v>87456</v>
      </c>
      <c r="C5" s="51" t="s">
        <v>131</v>
      </c>
      <c r="D5" s="51" t="s">
        <v>132</v>
      </c>
      <c r="E5" s="51" t="s">
        <v>133</v>
      </c>
    </row>
    <row r="6" spans="1:5" ht="15.75" thickBot="1" x14ac:dyDescent="0.3"/>
    <row r="7" spans="1:5" ht="15.75" thickBot="1" x14ac:dyDescent="0.3">
      <c r="B7" s="52" t="s">
        <v>134</v>
      </c>
      <c r="C7" s="53">
        <v>58971</v>
      </c>
    </row>
    <row r="8" spans="1:5" ht="15.75" thickBot="1" x14ac:dyDescent="0.3">
      <c r="B8" s="54" t="s">
        <v>135</v>
      </c>
      <c r="C8" s="53" t="str">
        <f>_xlfn.XLOOKUP($C$7,$B$2:$B$5,$A$2:$A$5)</f>
        <v>David Eng.</v>
      </c>
    </row>
    <row r="9" spans="1:5" ht="15.75" customHeight="1" thickBot="1" x14ac:dyDescent="0.3">
      <c r="B9" s="54" t="s">
        <v>136</v>
      </c>
      <c r="C9" s="55" t="str">
        <f>_xlfn.XLOOKUP($C$7,$B$2:$B$5,$C$2:$C$5)</f>
        <v>1200 Duvall</v>
      </c>
    </row>
    <row r="10" spans="1:5" ht="15.75" customHeight="1" thickBot="1" x14ac:dyDescent="0.3">
      <c r="B10" s="54" t="s">
        <v>137</v>
      </c>
      <c r="C10" s="55" t="str">
        <f>_xlfn.XLOOKUP($C$7,$B$2:$B$5,$D$2:$D$5)</f>
        <v>Charleston</v>
      </c>
    </row>
    <row r="11" spans="1:5" ht="15.75" customHeight="1" thickBot="1" x14ac:dyDescent="0.3">
      <c r="B11" s="54" t="s">
        <v>117</v>
      </c>
      <c r="C11" s="53" t="str">
        <f>_xlfn.XLOOKUP($C$7,$B$2:$B$5,$E$2:$E$5)</f>
        <v>SC 10004</v>
      </c>
    </row>
    <row r="12" spans="1:5" x14ac:dyDescent="0.25">
      <c r="C12" s="56"/>
      <c r="D12" s="5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Future_Value</vt:lpstr>
      <vt:lpstr>Future_Value2</vt:lpstr>
      <vt:lpstr>CoffeeShop</vt:lpstr>
      <vt:lpstr>Sales</vt:lpstr>
      <vt:lpstr>Moving Average</vt:lpstr>
      <vt:lpstr>VIP</vt:lpstr>
      <vt:lpstr>Installment</vt:lpstr>
      <vt:lpstr>Annuity</vt:lpstr>
      <vt:lpstr>Exam</vt:lpstr>
      <vt:lpstr>Department</vt:lpstr>
      <vt:lpstr>Bar_Sales</vt:lpstr>
      <vt:lpstr>Gift</vt:lpstr>
      <vt:lpstr>Grading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Peter Roßbach</dc:creator>
  <cp:lastModifiedBy>Administrator</cp:lastModifiedBy>
  <cp:lastPrinted>1999-11-21T14:13:59Z</cp:lastPrinted>
  <dcterms:created xsi:type="dcterms:W3CDTF">1999-11-20T08:59:55Z</dcterms:created>
  <dcterms:modified xsi:type="dcterms:W3CDTF">2026-09-05T08:30:55Z</dcterms:modified>
</cp:coreProperties>
</file>