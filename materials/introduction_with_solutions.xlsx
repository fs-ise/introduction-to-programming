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ropbox\Lehre\Introduction to Programming\Presentation\"/>
    </mc:Choice>
  </mc:AlternateContent>
  <bookViews>
    <workbookView xWindow="90" yWindow="75" windowWidth="12000" windowHeight="7245"/>
  </bookViews>
  <sheets>
    <sheet name="Anfang" sheetId="4" r:id="rId1"/>
    <sheet name="Maske" sheetId="7" r:id="rId2"/>
    <sheet name="mit Graphik" sheetId="1" r:id="rId3"/>
    <sheet name="Einfach" sheetId="6" r:id="rId4"/>
    <sheet name="Wenn" sheetId="5" r:id="rId5"/>
    <sheet name="Solver" sheetId="8" r:id="rId6"/>
  </sheets>
  <definedNames>
    <definedName name="solver_adj" localSheetId="5" hidden="1">Solver!$B$4</definedName>
    <definedName name="solver_cvg" localSheetId="5" hidden="1">0.001</definedName>
    <definedName name="solver_drv" localSheetId="5" hidden="1">1</definedName>
    <definedName name="solver_eng" localSheetId="5" hidden="1">1</definedName>
    <definedName name="solver_est" localSheetId="5" hidden="1">1</definedName>
    <definedName name="solver_itr" localSheetId="5" hidden="1">100</definedName>
    <definedName name="solver_lin" localSheetId="5" hidden="1">2</definedName>
    <definedName name="solver_neg" localSheetId="5" hidden="1">2</definedName>
    <definedName name="solver_num" localSheetId="5" hidden="1">0</definedName>
    <definedName name="solver_nwt" localSheetId="5" hidden="1">1</definedName>
    <definedName name="solver_opt" localSheetId="5" hidden="1">Solver!$B$5</definedName>
    <definedName name="solver_pre" localSheetId="5" hidden="1">0.000001</definedName>
    <definedName name="solver_scl" localSheetId="5" hidden="1">2</definedName>
    <definedName name="solver_sho" localSheetId="5" hidden="1">2</definedName>
    <definedName name="solver_tim" localSheetId="5" hidden="1">100</definedName>
    <definedName name="solver_tol" localSheetId="5" hidden="1">0.05</definedName>
    <definedName name="solver_typ" localSheetId="5" hidden="1">2</definedName>
    <definedName name="solver_val" localSheetId="5" hidden="1">0</definedName>
    <definedName name="solver_ver" localSheetId="5" hidden="1">3</definedName>
  </definedNames>
  <calcPr calcId="162913"/>
</workbook>
</file>

<file path=xl/calcChain.xml><?xml version="1.0" encoding="utf-8"?>
<calcChain xmlns="http://schemas.openxmlformats.org/spreadsheetml/2006/main">
  <c r="E9" i="6" l="1"/>
  <c r="B4" i="4" l="1"/>
  <c r="B3" i="4"/>
  <c r="E5" i="6" l="1"/>
  <c r="C4" i="6" s="1"/>
  <c r="C8" i="6"/>
  <c r="C10" i="6"/>
  <c r="C13" i="6"/>
  <c r="B16" i="6"/>
  <c r="E5" i="7"/>
  <c r="E5" i="1"/>
  <c r="C5" i="1" s="1"/>
  <c r="C12" i="1"/>
  <c r="D3" i="8"/>
  <c r="E3" i="8" s="1"/>
  <c r="D4" i="8"/>
  <c r="E4" i="8" s="1"/>
  <c r="B5" i="8"/>
  <c r="D5" i="8"/>
  <c r="E5" i="8" s="1"/>
  <c r="D6" i="8"/>
  <c r="E6" i="8"/>
  <c r="D7" i="8"/>
  <c r="E7" i="8" s="1"/>
  <c r="D8" i="8"/>
  <c r="E8" i="8" s="1"/>
  <c r="D9" i="8"/>
  <c r="E9" i="8"/>
  <c r="D10" i="8"/>
  <c r="E10" i="8" s="1"/>
  <c r="D11" i="8"/>
  <c r="E11" i="8" s="1"/>
  <c r="D12" i="8"/>
  <c r="E12" i="8"/>
  <c r="D13" i="8"/>
  <c r="E13" i="8" s="1"/>
  <c r="D14" i="8"/>
  <c r="E14" i="8" s="1"/>
  <c r="D15" i="8"/>
  <c r="E15" i="8"/>
  <c r="D16" i="8"/>
  <c r="E16" i="8" s="1"/>
  <c r="D17" i="8"/>
  <c r="E17" i="8" s="1"/>
  <c r="D18" i="8"/>
  <c r="E18" i="8"/>
  <c r="D19" i="8"/>
  <c r="E19" i="8" s="1"/>
  <c r="D20" i="8"/>
  <c r="E20" i="8" s="1"/>
  <c r="D21" i="8"/>
  <c r="E21" i="8"/>
  <c r="D22" i="8"/>
  <c r="E22" i="8" s="1"/>
  <c r="D23" i="8"/>
  <c r="E23" i="8" s="1"/>
  <c r="D24" i="8"/>
  <c r="E24" i="8"/>
  <c r="D25" i="8"/>
  <c r="E25" i="8" s="1"/>
  <c r="D26" i="8"/>
  <c r="E26" i="8" s="1"/>
  <c r="D27" i="8"/>
  <c r="E27" i="8"/>
  <c r="E5" i="5"/>
  <c r="C4" i="5" s="1"/>
  <c r="C8" i="5"/>
  <c r="C12" i="5"/>
  <c r="C13" i="5"/>
  <c r="B16" i="5"/>
  <c r="C11" i="1" l="1"/>
  <c r="C4" i="1"/>
  <c r="C9" i="1"/>
  <c r="C8" i="1"/>
  <c r="C14" i="1"/>
  <c r="C7" i="1"/>
  <c r="C13" i="1"/>
  <c r="C6" i="1"/>
  <c r="C7" i="5"/>
  <c r="C12" i="6"/>
  <c r="C7" i="6"/>
  <c r="C6" i="5"/>
  <c r="C11" i="6"/>
  <c r="C6" i="6"/>
  <c r="C15" i="5"/>
  <c r="C10" i="5"/>
  <c r="C5" i="5"/>
  <c r="C16" i="5" s="1"/>
  <c r="E11" i="5" s="1"/>
  <c r="C15" i="6"/>
  <c r="C5" i="6"/>
  <c r="C16" i="6" s="1"/>
  <c r="C11" i="5"/>
  <c r="C14" i="5"/>
  <c r="C9" i="5"/>
  <c r="C15" i="1"/>
  <c r="C10" i="1"/>
  <c r="C14" i="6"/>
  <c r="C9" i="6"/>
</calcChain>
</file>

<file path=xl/sharedStrings.xml><?xml version="1.0" encoding="utf-8"?>
<sst xmlns="http://schemas.openxmlformats.org/spreadsheetml/2006/main" count="94" uniqueCount="33">
  <si>
    <t>Erlöse</t>
  </si>
  <si>
    <t>Kosten- und Erlösrechnung</t>
  </si>
  <si>
    <t>Fixkosten (Jahr) =</t>
  </si>
  <si>
    <t>var. Kosten (Stück) =</t>
  </si>
  <si>
    <t>Preis (Stück) =</t>
  </si>
  <si>
    <t>Monat</t>
  </si>
  <si>
    <t>Januar</t>
  </si>
  <si>
    <t>Februar</t>
  </si>
  <si>
    <t>März</t>
  </si>
  <si>
    <t>April</t>
  </si>
  <si>
    <t>Mai</t>
  </si>
  <si>
    <t>Juni</t>
  </si>
  <si>
    <t>Juli</t>
  </si>
  <si>
    <t>August</t>
  </si>
  <si>
    <t>September</t>
  </si>
  <si>
    <t>Oktober</t>
  </si>
  <si>
    <t>November</t>
  </si>
  <si>
    <t>Dezember</t>
  </si>
  <si>
    <t>Gesamt</t>
  </si>
  <si>
    <t>Erlös (Stück) =</t>
  </si>
  <si>
    <t>Gewinn (Jahr) =</t>
  </si>
  <si>
    <t>Fixkosten (Jahr):</t>
  </si>
  <si>
    <t>Gesamt &lt; 130000 =</t>
  </si>
  <si>
    <t>Gesamt &gt;= 130000 =</t>
  </si>
  <si>
    <t>Produktion</t>
  </si>
  <si>
    <t>Verschiebung x</t>
  </si>
  <si>
    <t>Verschiebung y</t>
  </si>
  <si>
    <t>Gleichung</t>
  </si>
  <si>
    <t>X-Wert</t>
  </si>
  <si>
    <t>Zahl 1</t>
  </si>
  <si>
    <t>Zahl 2</t>
  </si>
  <si>
    <t>Addition</t>
  </si>
  <si>
    <t>Hoch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</si>
</sst>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name val="Arial"/>
    </font>
    <font>
      <b/>
      <sz val="12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Border="1"/>
    <xf numFmtId="0" fontId="0" fillId="0" borderId="2" xfId="0" applyBorder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hPercent val="3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9.2257075860626564E-2"/>
          <c:y val="6.7729083665338641E-2"/>
          <c:w val="0.80230707043080596"/>
          <c:h val="0.61354581673306774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'mit Graphik'!$B$3</c:f>
              <c:strCache>
                <c:ptCount val="1"/>
                <c:pt idx="0">
                  <c:v>Produktion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'mit Graphik'!$A$4:$A$15</c:f>
              <c:strCache>
                <c:ptCount val="12"/>
                <c:pt idx="0">
                  <c:v>Januar</c:v>
                </c:pt>
                <c:pt idx="1">
                  <c:v>Februar</c:v>
                </c:pt>
                <c:pt idx="2">
                  <c:v>März</c:v>
                </c:pt>
                <c:pt idx="3">
                  <c:v>April</c:v>
                </c:pt>
                <c:pt idx="4">
                  <c:v>Mai</c:v>
                </c:pt>
                <c:pt idx="5">
                  <c:v>Juni</c:v>
                </c:pt>
                <c:pt idx="6">
                  <c:v>Juli</c:v>
                </c:pt>
                <c:pt idx="7">
                  <c:v>August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Dezember</c:v>
                </c:pt>
              </c:strCache>
            </c:strRef>
          </c:cat>
          <c:val>
            <c:numRef>
              <c:f>'mit Graphik'!$B$4:$B$15</c:f>
              <c:numCache>
                <c:formatCode>General</c:formatCode>
                <c:ptCount val="12"/>
                <c:pt idx="0">
                  <c:v>10000</c:v>
                </c:pt>
                <c:pt idx="1">
                  <c:v>12000</c:v>
                </c:pt>
                <c:pt idx="2">
                  <c:v>13000</c:v>
                </c:pt>
                <c:pt idx="3">
                  <c:v>9000</c:v>
                </c:pt>
                <c:pt idx="4">
                  <c:v>8000</c:v>
                </c:pt>
                <c:pt idx="5">
                  <c:v>11000</c:v>
                </c:pt>
                <c:pt idx="6">
                  <c:v>12000</c:v>
                </c:pt>
                <c:pt idx="7">
                  <c:v>15000</c:v>
                </c:pt>
                <c:pt idx="8">
                  <c:v>13000</c:v>
                </c:pt>
                <c:pt idx="9">
                  <c:v>11000</c:v>
                </c:pt>
                <c:pt idx="10">
                  <c:v>9000</c:v>
                </c:pt>
                <c:pt idx="11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3C-4FDF-8A41-9F1CF1CF9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4219744"/>
        <c:axId val="1"/>
        <c:axId val="0"/>
      </c:bar3DChart>
      <c:catAx>
        <c:axId val="454219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5421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775967413441955E-2"/>
          <c:y val="8.6092715231788075E-2"/>
          <c:w val="0.85539714867617112"/>
          <c:h val="0.7649006622516556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numRef>
              <c:f>Solver!$D$3:$D$27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xVal>
          <c:yVal>
            <c:numRef>
              <c:f>Solver!$E$3:$E$27</c:f>
              <c:numCache>
                <c:formatCode>General</c:formatCode>
                <c:ptCount val="25"/>
                <c:pt idx="0">
                  <c:v>126</c:v>
                </c:pt>
                <c:pt idx="1">
                  <c:v>105</c:v>
                </c:pt>
                <c:pt idx="2">
                  <c:v>86</c:v>
                </c:pt>
                <c:pt idx="3">
                  <c:v>69</c:v>
                </c:pt>
                <c:pt idx="4">
                  <c:v>54</c:v>
                </c:pt>
                <c:pt idx="5">
                  <c:v>41</c:v>
                </c:pt>
                <c:pt idx="6">
                  <c:v>30</c:v>
                </c:pt>
                <c:pt idx="7">
                  <c:v>21</c:v>
                </c:pt>
                <c:pt idx="8">
                  <c:v>14</c:v>
                </c:pt>
                <c:pt idx="9">
                  <c:v>9</c:v>
                </c:pt>
                <c:pt idx="10">
                  <c:v>6</c:v>
                </c:pt>
                <c:pt idx="11">
                  <c:v>5</c:v>
                </c:pt>
                <c:pt idx="12">
                  <c:v>6</c:v>
                </c:pt>
                <c:pt idx="13">
                  <c:v>9</c:v>
                </c:pt>
                <c:pt idx="14">
                  <c:v>14</c:v>
                </c:pt>
                <c:pt idx="15">
                  <c:v>21</c:v>
                </c:pt>
                <c:pt idx="16">
                  <c:v>30</c:v>
                </c:pt>
                <c:pt idx="17">
                  <c:v>41</c:v>
                </c:pt>
                <c:pt idx="18">
                  <c:v>54</c:v>
                </c:pt>
                <c:pt idx="19">
                  <c:v>69</c:v>
                </c:pt>
                <c:pt idx="20">
                  <c:v>86</c:v>
                </c:pt>
                <c:pt idx="21">
                  <c:v>105</c:v>
                </c:pt>
                <c:pt idx="22">
                  <c:v>126</c:v>
                </c:pt>
                <c:pt idx="23">
                  <c:v>149</c:v>
                </c:pt>
                <c:pt idx="24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1C-4B67-BAB1-162E8C258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21712"/>
        <c:axId val="1"/>
      </c:scatterChart>
      <c:valAx>
        <c:axId val="454221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54221712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12</xdr:row>
      <xdr:rowOff>19050</xdr:rowOff>
    </xdr:from>
    <xdr:to>
      <xdr:col>10</xdr:col>
      <xdr:colOff>28575</xdr:colOff>
      <xdr:row>26</xdr:row>
      <xdr:rowOff>142875</xdr:rowOff>
    </xdr:to>
    <xdr:graphicFrame macro="">
      <xdr:nvGraphicFramePr>
        <xdr:cNvPr id="1026" name="Diagramm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200025</xdr:colOff>
      <xdr:row>6</xdr:row>
      <xdr:rowOff>85725</xdr:rowOff>
    </xdr:from>
    <xdr:to>
      <xdr:col>11</xdr:col>
      <xdr:colOff>304800</xdr:colOff>
      <xdr:row>24</xdr:row>
      <xdr:rowOff>47625</xdr:rowOff>
    </xdr:to>
    <xdr:graphicFrame macro="">
      <xdr:nvGraphicFramePr>
        <xdr:cNvPr id="2049" name="Diagramm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tabSelected="1" workbookViewId="0">
      <selection activeCell="D12" sqref="D12"/>
    </sheetView>
  </sheetViews>
  <sheetFormatPr baseColWidth="10" defaultRowHeight="12.75" x14ac:dyDescent="0.2"/>
  <sheetData>
    <row r="1" spans="1:2" x14ac:dyDescent="0.2">
      <c r="A1" s="8" t="s">
        <v>29</v>
      </c>
      <c r="B1">
        <v>7</v>
      </c>
    </row>
    <row r="2" spans="1:2" x14ac:dyDescent="0.2">
      <c r="A2" s="8" t="s">
        <v>30</v>
      </c>
      <c r="B2">
        <v>3</v>
      </c>
    </row>
    <row r="3" spans="1:2" x14ac:dyDescent="0.2">
      <c r="A3" s="8" t="s">
        <v>31</v>
      </c>
      <c r="B3">
        <f>B1+B2</f>
        <v>10</v>
      </c>
    </row>
    <row r="4" spans="1:2" x14ac:dyDescent="0.2">
      <c r="A4" s="8" t="s">
        <v>32</v>
      </c>
      <c r="B4">
        <f>B1^B2</f>
        <v>343</v>
      </c>
    </row>
  </sheetData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D9" sqref="D9"/>
    </sheetView>
  </sheetViews>
  <sheetFormatPr baseColWidth="10" defaultRowHeight="12.75" x14ac:dyDescent="0.2"/>
  <cols>
    <col min="4" max="4" width="18.42578125" customWidth="1"/>
  </cols>
  <sheetData>
    <row r="1" spans="1:5" ht="15.75" x14ac:dyDescent="0.25">
      <c r="A1" s="9" t="s">
        <v>1</v>
      </c>
      <c r="B1" s="10"/>
      <c r="C1" s="10"/>
      <c r="D1" s="10"/>
      <c r="E1" s="10"/>
    </row>
    <row r="3" spans="1:5" x14ac:dyDescent="0.2">
      <c r="A3" s="1" t="s">
        <v>5</v>
      </c>
      <c r="B3" s="2" t="s">
        <v>24</v>
      </c>
      <c r="C3" s="2" t="s">
        <v>0</v>
      </c>
      <c r="D3" s="5" t="s">
        <v>4</v>
      </c>
      <c r="E3">
        <v>20</v>
      </c>
    </row>
    <row r="4" spans="1:5" x14ac:dyDescent="0.2">
      <c r="A4" t="s">
        <v>6</v>
      </c>
      <c r="B4">
        <v>10000</v>
      </c>
      <c r="D4" s="5" t="s">
        <v>3</v>
      </c>
      <c r="E4">
        <v>18</v>
      </c>
    </row>
    <row r="5" spans="1:5" x14ac:dyDescent="0.2">
      <c r="A5" t="s">
        <v>7</v>
      </c>
      <c r="B5">
        <v>12000</v>
      </c>
      <c r="D5" s="7" t="s">
        <v>19</v>
      </c>
      <c r="E5" s="3">
        <f>E3-E4</f>
        <v>2</v>
      </c>
    </row>
    <row r="6" spans="1:5" x14ac:dyDescent="0.2">
      <c r="A6" t="s">
        <v>8</v>
      </c>
      <c r="B6">
        <v>13000</v>
      </c>
    </row>
    <row r="7" spans="1:5" x14ac:dyDescent="0.2">
      <c r="A7" t="s">
        <v>9</v>
      </c>
      <c r="B7">
        <v>9000</v>
      </c>
      <c r="D7" s="5" t="s">
        <v>2</v>
      </c>
      <c r="E7">
        <v>250000</v>
      </c>
    </row>
    <row r="8" spans="1:5" x14ac:dyDescent="0.2">
      <c r="A8" t="s">
        <v>10</v>
      </c>
      <c r="B8">
        <v>8000</v>
      </c>
    </row>
    <row r="9" spans="1:5" x14ac:dyDescent="0.2">
      <c r="A9" t="s">
        <v>11</v>
      </c>
      <c r="B9">
        <v>11000</v>
      </c>
      <c r="D9" s="5"/>
    </row>
    <row r="10" spans="1:5" x14ac:dyDescent="0.2">
      <c r="A10" s="6" t="s">
        <v>12</v>
      </c>
      <c r="B10" s="6">
        <v>12000</v>
      </c>
    </row>
    <row r="11" spans="1:5" x14ac:dyDescent="0.2">
      <c r="A11" s="6" t="s">
        <v>13</v>
      </c>
      <c r="B11" s="6">
        <v>15000</v>
      </c>
    </row>
    <row r="12" spans="1:5" x14ac:dyDescent="0.2">
      <c r="A12" t="s">
        <v>14</v>
      </c>
      <c r="B12">
        <v>13000</v>
      </c>
    </row>
    <row r="13" spans="1:5" x14ac:dyDescent="0.2">
      <c r="A13" t="s">
        <v>15</v>
      </c>
      <c r="B13">
        <v>11000</v>
      </c>
    </row>
    <row r="14" spans="1:5" x14ac:dyDescent="0.2">
      <c r="A14" t="s">
        <v>16</v>
      </c>
      <c r="B14">
        <v>9000</v>
      </c>
    </row>
    <row r="15" spans="1:5" x14ac:dyDescent="0.2">
      <c r="A15" s="1" t="s">
        <v>17</v>
      </c>
      <c r="B15" s="1">
        <v>8000</v>
      </c>
    </row>
    <row r="16" spans="1:5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16" sqref="A16:C16"/>
    </sheetView>
  </sheetViews>
  <sheetFormatPr baseColWidth="10" defaultRowHeight="12.75" x14ac:dyDescent="0.2"/>
  <cols>
    <col min="1" max="1" width="12.140625" customWidth="1"/>
    <col min="3" max="3" width="10.28515625" customWidth="1"/>
    <col min="4" max="4" width="22.7109375" customWidth="1"/>
  </cols>
  <sheetData>
    <row r="1" spans="1:6" ht="15.75" x14ac:dyDescent="0.25">
      <c r="A1" s="9" t="s">
        <v>1</v>
      </c>
      <c r="B1" s="10"/>
      <c r="C1" s="10"/>
      <c r="D1" s="10"/>
      <c r="E1" s="10"/>
      <c r="F1" s="4"/>
    </row>
    <row r="3" spans="1:6" x14ac:dyDescent="0.2">
      <c r="A3" s="1" t="s">
        <v>5</v>
      </c>
      <c r="B3" s="2" t="s">
        <v>24</v>
      </c>
      <c r="C3" s="2" t="s">
        <v>0</v>
      </c>
      <c r="D3" s="5" t="s">
        <v>4</v>
      </c>
      <c r="E3">
        <v>20</v>
      </c>
    </row>
    <row r="4" spans="1:6" x14ac:dyDescent="0.2">
      <c r="A4" t="s">
        <v>6</v>
      </c>
      <c r="B4">
        <v>10000</v>
      </c>
      <c r="C4">
        <f>B4*$E$5</f>
        <v>20000</v>
      </c>
      <c r="D4" s="5" t="s">
        <v>3</v>
      </c>
      <c r="E4">
        <v>18</v>
      </c>
    </row>
    <row r="5" spans="1:6" x14ac:dyDescent="0.2">
      <c r="A5" t="s">
        <v>7</v>
      </c>
      <c r="B5">
        <v>12000</v>
      </c>
      <c r="C5">
        <f t="shared" ref="C5:C15" si="0">B5*$E$5</f>
        <v>24000</v>
      </c>
      <c r="D5" s="7" t="s">
        <v>19</v>
      </c>
      <c r="E5" s="3">
        <f>E3-E4</f>
        <v>2</v>
      </c>
    </row>
    <row r="6" spans="1:6" x14ac:dyDescent="0.2">
      <c r="A6" t="s">
        <v>8</v>
      </c>
      <c r="B6">
        <v>13000</v>
      </c>
      <c r="C6">
        <f t="shared" si="0"/>
        <v>26000</v>
      </c>
    </row>
    <row r="7" spans="1:6" x14ac:dyDescent="0.2">
      <c r="A7" t="s">
        <v>9</v>
      </c>
      <c r="B7">
        <v>9000</v>
      </c>
      <c r="C7">
        <f t="shared" si="0"/>
        <v>18000</v>
      </c>
      <c r="D7" s="4" t="s">
        <v>21</v>
      </c>
      <c r="E7">
        <v>250000</v>
      </c>
    </row>
    <row r="8" spans="1:6" x14ac:dyDescent="0.2">
      <c r="A8" t="s">
        <v>10</v>
      </c>
      <c r="B8">
        <v>8000</v>
      </c>
      <c r="C8">
        <f t="shared" si="0"/>
        <v>16000</v>
      </c>
    </row>
    <row r="9" spans="1:6" x14ac:dyDescent="0.2">
      <c r="A9" t="s">
        <v>11</v>
      </c>
      <c r="B9">
        <v>11000</v>
      </c>
      <c r="C9">
        <f t="shared" si="0"/>
        <v>22000</v>
      </c>
      <c r="D9" s="5"/>
    </row>
    <row r="10" spans="1:6" x14ac:dyDescent="0.2">
      <c r="A10" s="6" t="s">
        <v>12</v>
      </c>
      <c r="B10" s="6">
        <v>12000</v>
      </c>
      <c r="C10">
        <f t="shared" si="0"/>
        <v>24000</v>
      </c>
    </row>
    <row r="11" spans="1:6" x14ac:dyDescent="0.2">
      <c r="A11" s="6" t="s">
        <v>13</v>
      </c>
      <c r="B11" s="6">
        <v>15000</v>
      </c>
      <c r="C11">
        <f t="shared" si="0"/>
        <v>30000</v>
      </c>
    </row>
    <row r="12" spans="1:6" x14ac:dyDescent="0.2">
      <c r="A12" t="s">
        <v>14</v>
      </c>
      <c r="B12">
        <v>13000</v>
      </c>
      <c r="C12">
        <f t="shared" si="0"/>
        <v>26000</v>
      </c>
    </row>
    <row r="13" spans="1:6" x14ac:dyDescent="0.2">
      <c r="A13" t="s">
        <v>15</v>
      </c>
      <c r="B13">
        <v>11000</v>
      </c>
      <c r="C13">
        <f t="shared" si="0"/>
        <v>22000</v>
      </c>
    </row>
    <row r="14" spans="1:6" x14ac:dyDescent="0.2">
      <c r="A14" t="s">
        <v>16</v>
      </c>
      <c r="B14">
        <v>9000</v>
      </c>
      <c r="C14">
        <f t="shared" si="0"/>
        <v>18000</v>
      </c>
    </row>
    <row r="15" spans="1:6" x14ac:dyDescent="0.2">
      <c r="A15" s="1" t="s">
        <v>17</v>
      </c>
      <c r="B15" s="1">
        <v>8000</v>
      </c>
      <c r="C15">
        <f t="shared" si="0"/>
        <v>16000</v>
      </c>
    </row>
    <row r="16" spans="1:6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H10" sqref="H10"/>
    </sheetView>
  </sheetViews>
  <sheetFormatPr baseColWidth="10" defaultRowHeight="12.75" x14ac:dyDescent="0.2"/>
  <cols>
    <col min="3" max="3" width="13" customWidth="1"/>
    <col min="4" max="4" width="22.85546875" customWidth="1"/>
  </cols>
  <sheetData>
    <row r="1" spans="1:5" ht="15.75" x14ac:dyDescent="0.25">
      <c r="A1" s="9" t="s">
        <v>1</v>
      </c>
      <c r="B1" s="10"/>
      <c r="C1" s="10"/>
      <c r="D1" s="10"/>
      <c r="E1" s="10"/>
    </row>
    <row r="3" spans="1:5" x14ac:dyDescent="0.2">
      <c r="A3" s="1" t="s">
        <v>5</v>
      </c>
      <c r="B3" s="2" t="s">
        <v>24</v>
      </c>
      <c r="C3" s="2" t="s">
        <v>0</v>
      </c>
      <c r="D3" s="5" t="s">
        <v>4</v>
      </c>
      <c r="E3">
        <v>20</v>
      </c>
    </row>
    <row r="4" spans="1:5" x14ac:dyDescent="0.2">
      <c r="A4" t="s">
        <v>6</v>
      </c>
      <c r="B4">
        <v>10000</v>
      </c>
      <c r="C4">
        <f>B4*$E$5</f>
        <v>20000</v>
      </c>
      <c r="D4" s="5" t="s">
        <v>3</v>
      </c>
      <c r="E4">
        <v>18</v>
      </c>
    </row>
    <row r="5" spans="1:5" x14ac:dyDescent="0.2">
      <c r="A5" t="s">
        <v>7</v>
      </c>
      <c r="B5">
        <v>12000</v>
      </c>
      <c r="C5">
        <f t="shared" ref="C5:C15" si="0">B5*$E$5</f>
        <v>24000</v>
      </c>
      <c r="D5" s="7" t="s">
        <v>19</v>
      </c>
      <c r="E5" s="3">
        <f>E3-E4</f>
        <v>2</v>
      </c>
    </row>
    <row r="6" spans="1:5" x14ac:dyDescent="0.2">
      <c r="A6" t="s">
        <v>8</v>
      </c>
      <c r="B6">
        <v>13000</v>
      </c>
      <c r="C6">
        <f t="shared" si="0"/>
        <v>26000</v>
      </c>
    </row>
    <row r="7" spans="1:5" x14ac:dyDescent="0.2">
      <c r="A7" t="s">
        <v>9</v>
      </c>
      <c r="B7">
        <v>9000</v>
      </c>
      <c r="C7">
        <f t="shared" si="0"/>
        <v>18000</v>
      </c>
      <c r="D7" s="5" t="s">
        <v>2</v>
      </c>
      <c r="E7">
        <v>250000</v>
      </c>
    </row>
    <row r="8" spans="1:5" x14ac:dyDescent="0.2">
      <c r="A8" t="s">
        <v>10</v>
      </c>
      <c r="B8">
        <v>8000</v>
      </c>
      <c r="C8">
        <f t="shared" si="0"/>
        <v>16000</v>
      </c>
    </row>
    <row r="9" spans="1:5" x14ac:dyDescent="0.2">
      <c r="A9" t="s">
        <v>11</v>
      </c>
      <c r="B9">
        <v>11000</v>
      </c>
      <c r="C9">
        <f t="shared" si="0"/>
        <v>22000</v>
      </c>
      <c r="D9" s="5" t="s">
        <v>20</v>
      </c>
      <c r="E9">
        <f>C16-E7</f>
        <v>12000</v>
      </c>
    </row>
    <row r="10" spans="1:5" x14ac:dyDescent="0.2">
      <c r="A10" s="6" t="s">
        <v>12</v>
      </c>
      <c r="B10" s="6">
        <v>12000</v>
      </c>
      <c r="C10">
        <f t="shared" si="0"/>
        <v>24000</v>
      </c>
    </row>
    <row r="11" spans="1:5" x14ac:dyDescent="0.2">
      <c r="A11" s="6" t="s">
        <v>13</v>
      </c>
      <c r="B11" s="6">
        <v>15000</v>
      </c>
      <c r="C11">
        <f t="shared" si="0"/>
        <v>30000</v>
      </c>
    </row>
    <row r="12" spans="1:5" x14ac:dyDescent="0.2">
      <c r="A12" t="s">
        <v>14</v>
      </c>
      <c r="B12">
        <v>13000</v>
      </c>
      <c r="C12">
        <f t="shared" si="0"/>
        <v>26000</v>
      </c>
    </row>
    <row r="13" spans="1:5" x14ac:dyDescent="0.2">
      <c r="A13" t="s">
        <v>15</v>
      </c>
      <c r="B13">
        <v>11000</v>
      </c>
      <c r="C13">
        <f t="shared" si="0"/>
        <v>22000</v>
      </c>
    </row>
    <row r="14" spans="1:5" x14ac:dyDescent="0.2">
      <c r="A14" t="s">
        <v>16</v>
      </c>
      <c r="B14">
        <v>9000</v>
      </c>
      <c r="C14">
        <f t="shared" si="0"/>
        <v>18000</v>
      </c>
    </row>
    <row r="15" spans="1:5" x14ac:dyDescent="0.2">
      <c r="A15" s="1" t="s">
        <v>17</v>
      </c>
      <c r="B15" s="1">
        <v>8000</v>
      </c>
      <c r="C15">
        <f t="shared" si="0"/>
        <v>16000</v>
      </c>
    </row>
    <row r="16" spans="1:5" x14ac:dyDescent="0.2">
      <c r="A16" t="s">
        <v>18</v>
      </c>
      <c r="B16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G11" sqref="G11"/>
    </sheetView>
  </sheetViews>
  <sheetFormatPr baseColWidth="10" defaultRowHeight="12.75" x14ac:dyDescent="0.2"/>
  <cols>
    <col min="3" max="3" width="11" customWidth="1"/>
    <col min="4" max="4" width="23.28515625" customWidth="1"/>
    <col min="5" max="5" width="7.85546875" customWidth="1"/>
  </cols>
  <sheetData>
    <row r="1" spans="1:5" ht="15.75" x14ac:dyDescent="0.25">
      <c r="A1" s="9" t="s">
        <v>1</v>
      </c>
      <c r="B1" s="10"/>
      <c r="C1" s="10"/>
      <c r="D1" s="10"/>
      <c r="E1" s="10"/>
    </row>
    <row r="3" spans="1:5" x14ac:dyDescent="0.2">
      <c r="A3" s="1" t="s">
        <v>5</v>
      </c>
      <c r="B3" s="2" t="s">
        <v>24</v>
      </c>
      <c r="C3" s="2" t="s">
        <v>0</v>
      </c>
      <c r="D3" s="5" t="s">
        <v>4</v>
      </c>
      <c r="E3">
        <v>20</v>
      </c>
    </row>
    <row r="4" spans="1:5" x14ac:dyDescent="0.2">
      <c r="A4" t="s">
        <v>6</v>
      </c>
      <c r="B4">
        <v>10000</v>
      </c>
      <c r="C4">
        <f>B4*$E$5</f>
        <v>20000</v>
      </c>
      <c r="D4" s="5" t="s">
        <v>3</v>
      </c>
      <c r="E4">
        <v>18</v>
      </c>
    </row>
    <row r="5" spans="1:5" x14ac:dyDescent="0.2">
      <c r="A5" t="s">
        <v>7</v>
      </c>
      <c r="B5">
        <v>12000</v>
      </c>
      <c r="C5">
        <f t="shared" ref="C5:C15" si="0">B5*$E$5</f>
        <v>24000</v>
      </c>
      <c r="D5" s="7" t="s">
        <v>19</v>
      </c>
      <c r="E5" s="3">
        <f>E3-E4</f>
        <v>2</v>
      </c>
    </row>
    <row r="6" spans="1:5" x14ac:dyDescent="0.2">
      <c r="A6" t="s">
        <v>8</v>
      </c>
      <c r="B6">
        <v>13000</v>
      </c>
      <c r="C6">
        <f t="shared" si="0"/>
        <v>26000</v>
      </c>
    </row>
    <row r="7" spans="1:5" x14ac:dyDescent="0.2">
      <c r="A7" t="s">
        <v>9</v>
      </c>
      <c r="B7">
        <v>9000</v>
      </c>
      <c r="C7">
        <f t="shared" si="0"/>
        <v>18000</v>
      </c>
      <c r="D7" s="4" t="s">
        <v>21</v>
      </c>
    </row>
    <row r="8" spans="1:5" x14ac:dyDescent="0.2">
      <c r="A8" t="s">
        <v>10</v>
      </c>
      <c r="B8">
        <v>8000</v>
      </c>
      <c r="C8">
        <f t="shared" si="0"/>
        <v>16000</v>
      </c>
      <c r="D8" s="5" t="s">
        <v>22</v>
      </c>
      <c r="E8">
        <v>200000</v>
      </c>
    </row>
    <row r="9" spans="1:5" x14ac:dyDescent="0.2">
      <c r="A9" t="s">
        <v>11</v>
      </c>
      <c r="B9">
        <v>11000</v>
      </c>
      <c r="C9">
        <f t="shared" si="0"/>
        <v>22000</v>
      </c>
      <c r="D9" s="5" t="s">
        <v>23</v>
      </c>
      <c r="E9">
        <v>250000</v>
      </c>
    </row>
    <row r="10" spans="1:5" x14ac:dyDescent="0.2">
      <c r="A10" s="6" t="s">
        <v>12</v>
      </c>
      <c r="B10" s="6">
        <v>12000</v>
      </c>
      <c r="C10">
        <f t="shared" si="0"/>
        <v>24000</v>
      </c>
    </row>
    <row r="11" spans="1:5" x14ac:dyDescent="0.2">
      <c r="A11" s="6" t="s">
        <v>13</v>
      </c>
      <c r="B11" s="6">
        <v>15000</v>
      </c>
      <c r="C11">
        <f t="shared" si="0"/>
        <v>30000</v>
      </c>
      <c r="D11" s="5" t="s">
        <v>20</v>
      </c>
      <c r="E11">
        <f>IF(B16&lt;130000,C16-E8,C16-E9)</f>
        <v>12000</v>
      </c>
    </row>
    <row r="12" spans="1:5" x14ac:dyDescent="0.2">
      <c r="A12" t="s">
        <v>14</v>
      </c>
      <c r="B12">
        <v>13000</v>
      </c>
      <c r="C12">
        <f t="shared" si="0"/>
        <v>26000</v>
      </c>
    </row>
    <row r="13" spans="1:5" x14ac:dyDescent="0.2">
      <c r="A13" t="s">
        <v>15</v>
      </c>
      <c r="B13">
        <v>11000</v>
      </c>
      <c r="C13">
        <f t="shared" si="0"/>
        <v>22000</v>
      </c>
    </row>
    <row r="14" spans="1:5" x14ac:dyDescent="0.2">
      <c r="A14" t="s">
        <v>16</v>
      </c>
      <c r="B14">
        <v>9000</v>
      </c>
      <c r="C14">
        <f t="shared" si="0"/>
        <v>18000</v>
      </c>
    </row>
    <row r="15" spans="1:5" x14ac:dyDescent="0.2">
      <c r="A15" s="1" t="s">
        <v>17</v>
      </c>
      <c r="B15" s="1">
        <v>8000</v>
      </c>
      <c r="C15">
        <f t="shared" si="0"/>
        <v>16000</v>
      </c>
    </row>
    <row r="16" spans="1:5" x14ac:dyDescent="0.2">
      <c r="A16" t="s">
        <v>18</v>
      </c>
      <c r="B16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27"/>
  <sheetViews>
    <sheetView workbookViewId="0">
      <selection activeCell="B5" sqref="B5"/>
    </sheetView>
  </sheetViews>
  <sheetFormatPr baseColWidth="10" defaultRowHeight="12.75" x14ac:dyDescent="0.2"/>
  <cols>
    <col min="1" max="1" width="15.5703125" customWidth="1"/>
  </cols>
  <sheetData>
    <row r="2" spans="1:5" x14ac:dyDescent="0.2">
      <c r="A2" t="s">
        <v>25</v>
      </c>
      <c r="B2">
        <v>12</v>
      </c>
    </row>
    <row r="3" spans="1:5" x14ac:dyDescent="0.2">
      <c r="A3" t="s">
        <v>26</v>
      </c>
      <c r="B3">
        <v>5</v>
      </c>
      <c r="D3">
        <f>ROW()-2</f>
        <v>1</v>
      </c>
      <c r="E3">
        <f>(D3-$B$2)^2+$B$3</f>
        <v>126</v>
      </c>
    </row>
    <row r="4" spans="1:5" x14ac:dyDescent="0.2">
      <c r="A4" t="s">
        <v>28</v>
      </c>
      <c r="B4">
        <v>1</v>
      </c>
      <c r="D4">
        <f t="shared" ref="D4:D27" si="0">ROW()-2</f>
        <v>2</v>
      </c>
      <c r="E4">
        <f t="shared" ref="E4:E27" si="1">(D4-$B$2)^2+$B$3</f>
        <v>105</v>
      </c>
    </row>
    <row r="5" spans="1:5" x14ac:dyDescent="0.2">
      <c r="A5" t="s">
        <v>27</v>
      </c>
      <c r="B5">
        <f>(B4-$B$2)^2+$B$3</f>
        <v>126</v>
      </c>
      <c r="D5">
        <f t="shared" si="0"/>
        <v>3</v>
      </c>
      <c r="E5">
        <f t="shared" si="1"/>
        <v>86</v>
      </c>
    </row>
    <row r="6" spans="1:5" x14ac:dyDescent="0.2">
      <c r="D6">
        <f t="shared" si="0"/>
        <v>4</v>
      </c>
      <c r="E6">
        <f t="shared" si="1"/>
        <v>69</v>
      </c>
    </row>
    <row r="7" spans="1:5" x14ac:dyDescent="0.2">
      <c r="D7">
        <f t="shared" si="0"/>
        <v>5</v>
      </c>
      <c r="E7">
        <f t="shared" si="1"/>
        <v>54</v>
      </c>
    </row>
    <row r="8" spans="1:5" x14ac:dyDescent="0.2">
      <c r="D8">
        <f t="shared" si="0"/>
        <v>6</v>
      </c>
      <c r="E8">
        <f t="shared" si="1"/>
        <v>41</v>
      </c>
    </row>
    <row r="9" spans="1:5" x14ac:dyDescent="0.2">
      <c r="D9">
        <f t="shared" si="0"/>
        <v>7</v>
      </c>
      <c r="E9">
        <f t="shared" si="1"/>
        <v>30</v>
      </c>
    </row>
    <row r="10" spans="1:5" x14ac:dyDescent="0.2">
      <c r="D10">
        <f t="shared" si="0"/>
        <v>8</v>
      </c>
      <c r="E10">
        <f t="shared" si="1"/>
        <v>21</v>
      </c>
    </row>
    <row r="11" spans="1:5" x14ac:dyDescent="0.2">
      <c r="D11">
        <f t="shared" si="0"/>
        <v>9</v>
      </c>
      <c r="E11">
        <f t="shared" si="1"/>
        <v>14</v>
      </c>
    </row>
    <row r="12" spans="1:5" x14ac:dyDescent="0.2">
      <c r="D12">
        <f t="shared" si="0"/>
        <v>10</v>
      </c>
      <c r="E12">
        <f t="shared" si="1"/>
        <v>9</v>
      </c>
    </row>
    <row r="13" spans="1:5" x14ac:dyDescent="0.2">
      <c r="D13">
        <f t="shared" si="0"/>
        <v>11</v>
      </c>
      <c r="E13">
        <f t="shared" si="1"/>
        <v>6</v>
      </c>
    </row>
    <row r="14" spans="1:5" x14ac:dyDescent="0.2">
      <c r="D14">
        <f t="shared" si="0"/>
        <v>12</v>
      </c>
      <c r="E14">
        <f t="shared" si="1"/>
        <v>5</v>
      </c>
    </row>
    <row r="15" spans="1:5" x14ac:dyDescent="0.2">
      <c r="D15">
        <f t="shared" si="0"/>
        <v>13</v>
      </c>
      <c r="E15">
        <f t="shared" si="1"/>
        <v>6</v>
      </c>
    </row>
    <row r="16" spans="1:5" x14ac:dyDescent="0.2">
      <c r="D16">
        <f t="shared" si="0"/>
        <v>14</v>
      </c>
      <c r="E16">
        <f t="shared" si="1"/>
        <v>9</v>
      </c>
    </row>
    <row r="17" spans="4:5" x14ac:dyDescent="0.2">
      <c r="D17">
        <f t="shared" si="0"/>
        <v>15</v>
      </c>
      <c r="E17">
        <f t="shared" si="1"/>
        <v>14</v>
      </c>
    </row>
    <row r="18" spans="4:5" x14ac:dyDescent="0.2">
      <c r="D18">
        <f t="shared" si="0"/>
        <v>16</v>
      </c>
      <c r="E18">
        <f t="shared" si="1"/>
        <v>21</v>
      </c>
    </row>
    <row r="19" spans="4:5" x14ac:dyDescent="0.2">
      <c r="D19">
        <f t="shared" si="0"/>
        <v>17</v>
      </c>
      <c r="E19">
        <f t="shared" si="1"/>
        <v>30</v>
      </c>
    </row>
    <row r="20" spans="4:5" x14ac:dyDescent="0.2">
      <c r="D20">
        <f t="shared" si="0"/>
        <v>18</v>
      </c>
      <c r="E20">
        <f t="shared" si="1"/>
        <v>41</v>
      </c>
    </row>
    <row r="21" spans="4:5" x14ac:dyDescent="0.2">
      <c r="D21">
        <f t="shared" si="0"/>
        <v>19</v>
      </c>
      <c r="E21">
        <f t="shared" si="1"/>
        <v>54</v>
      </c>
    </row>
    <row r="22" spans="4:5" x14ac:dyDescent="0.2">
      <c r="D22">
        <f t="shared" si="0"/>
        <v>20</v>
      </c>
      <c r="E22">
        <f t="shared" si="1"/>
        <v>69</v>
      </c>
    </row>
    <row r="23" spans="4:5" x14ac:dyDescent="0.2">
      <c r="D23">
        <f t="shared" si="0"/>
        <v>21</v>
      </c>
      <c r="E23">
        <f t="shared" si="1"/>
        <v>86</v>
      </c>
    </row>
    <row r="24" spans="4:5" x14ac:dyDescent="0.2">
      <c r="D24">
        <f t="shared" si="0"/>
        <v>22</v>
      </c>
      <c r="E24">
        <f t="shared" si="1"/>
        <v>105</v>
      </c>
    </row>
    <row r="25" spans="4:5" x14ac:dyDescent="0.2">
      <c r="D25">
        <f t="shared" si="0"/>
        <v>23</v>
      </c>
      <c r="E25">
        <f t="shared" si="1"/>
        <v>126</v>
      </c>
    </row>
    <row r="26" spans="4:5" x14ac:dyDescent="0.2">
      <c r="D26">
        <f t="shared" si="0"/>
        <v>24</v>
      </c>
      <c r="E26">
        <f t="shared" si="1"/>
        <v>149</v>
      </c>
    </row>
    <row r="27" spans="4:5" x14ac:dyDescent="0.2">
      <c r="D27">
        <f t="shared" si="0"/>
        <v>25</v>
      </c>
      <c r="E27">
        <f t="shared" si="1"/>
        <v>174</v>
      </c>
    </row>
  </sheetData>
  <pageMargins left="0.78740157499999996" right="0.78740157499999996" top="0.984251969" bottom="0.984251969" header="0.4921259845" footer="0.4921259845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Anfang</vt:lpstr>
      <vt:lpstr>Maske</vt:lpstr>
      <vt:lpstr>mit Graphik</vt:lpstr>
      <vt:lpstr>Einfach</vt:lpstr>
      <vt:lpstr>Wenn</vt:lpstr>
      <vt:lpstr>Solver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Peter Roßbach</dc:creator>
  <cp:lastModifiedBy>rossbach</cp:lastModifiedBy>
  <dcterms:created xsi:type="dcterms:W3CDTF">1999-11-19T09:39:10Z</dcterms:created>
  <dcterms:modified xsi:type="dcterms:W3CDTF">2021-10-18T11:52:23Z</dcterms:modified>
</cp:coreProperties>
</file>