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Z:\temp\"/>
    </mc:Choice>
  </mc:AlternateContent>
  <xr:revisionPtr revIDLastSave="0" documentId="13_ncr:1_{1325F2A1-C243-4138-B07C-E26BCE5B1FB1}" xr6:coauthVersionLast="47" xr6:coauthVersionMax="47" xr10:uidLastSave="{00000000-0000-0000-0000-000000000000}"/>
  <bookViews>
    <workbookView xWindow="-120" yWindow="-120" windowWidth="29040" windowHeight="15885" xr2:uid="{00000000-000D-0000-FFFF-FFFF00000000}"/>
  </bookViews>
  <sheets>
    <sheet name="Start" sheetId="4" r:id="rId1"/>
    <sheet name="Cost_Revenue" sheetId="7" r:id="rId2"/>
    <sheet name="Cost_Revenue_Painter" sheetId="9" r:id="rId3"/>
    <sheet name="with_plot" sheetId="1" r:id="rId4"/>
    <sheet name="simple" sheetId="6" r:id="rId5"/>
    <sheet name="conditional_cost" sheetId="5" r:id="rId6"/>
    <sheet name="Bike_sale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E5" i="6" l="1"/>
  <c r="C4" i="6" s="1"/>
  <c r="C8" i="6"/>
  <c r="C10" i="6"/>
  <c r="C13" i="6"/>
  <c r="B16" i="6"/>
  <c r="E5" i="7"/>
  <c r="E5" i="1"/>
  <c r="C5" i="1" s="1"/>
  <c r="C12" i="1"/>
  <c r="E5" i="5"/>
  <c r="C4" i="5" s="1"/>
  <c r="C8" i="5"/>
  <c r="C12" i="5"/>
  <c r="C13" i="5"/>
  <c r="B16" i="5"/>
  <c r="C11" i="1" l="1"/>
  <c r="C4" i="1"/>
  <c r="C9" i="1"/>
  <c r="C8" i="1"/>
  <c r="C14" i="1"/>
  <c r="C7" i="1"/>
  <c r="C13" i="1"/>
  <c r="C6" i="1"/>
  <c r="C7" i="5"/>
  <c r="C12" i="6"/>
  <c r="C7" i="6"/>
  <c r="C6" i="5"/>
  <c r="C11" i="6"/>
  <c r="C6" i="6"/>
  <c r="C15" i="5"/>
  <c r="C10" i="5"/>
  <c r="C5" i="5"/>
  <c r="C15" i="6"/>
  <c r="C5" i="6"/>
  <c r="C11" i="5"/>
  <c r="C14" i="5"/>
  <c r="C9" i="5"/>
  <c r="C15" i="1"/>
  <c r="C10" i="1"/>
  <c r="C14" i="6"/>
  <c r="C9" i="6"/>
  <c r="C16" i="6" l="1"/>
  <c r="E9" i="6" s="1"/>
  <c r="C16" i="5"/>
  <c r="E11" i="5" s="1"/>
</calcChain>
</file>

<file path=xl/sharedStrings.xml><?xml version="1.0" encoding="utf-8"?>
<sst xmlns="http://schemas.openxmlformats.org/spreadsheetml/2006/main" count="104" uniqueCount="43">
  <si>
    <t>April</t>
  </si>
  <si>
    <t>August</t>
  </si>
  <si>
    <t>September</t>
  </si>
  <si>
    <t>November</t>
  </si>
  <si>
    <t>Addition</t>
  </si>
  <si>
    <t>Cost and revenue calculation</t>
  </si>
  <si>
    <t>Number 1</t>
  </si>
  <si>
    <t>Number 2</t>
  </si>
  <si>
    <t>Exponent</t>
  </si>
  <si>
    <t>Month</t>
  </si>
  <si>
    <t>January</t>
  </si>
  <si>
    <t>February</t>
  </si>
  <si>
    <t>March</t>
  </si>
  <si>
    <t>May</t>
  </si>
  <si>
    <t>June</t>
  </si>
  <si>
    <t>July</t>
  </si>
  <si>
    <t>October</t>
  </si>
  <si>
    <t>December</t>
  </si>
  <si>
    <t>Total</t>
  </si>
  <si>
    <t>Production</t>
  </si>
  <si>
    <t>Revenue</t>
  </si>
  <si>
    <t>Price (per unit) =</t>
  </si>
  <si>
    <t>var. Cost (per unit) =</t>
  </si>
  <si>
    <t>Revenue (per unti) =</t>
  </si>
  <si>
    <t>Fixed cost (per year) =</t>
  </si>
  <si>
    <t>Profit (per year) =</t>
  </si>
  <si>
    <t>Fixed cost (per year):</t>
  </si>
  <si>
    <t>Production &lt; 130000 =</t>
  </si>
  <si>
    <t>Production &gt;= 130000 =</t>
  </si>
  <si>
    <t>Bike</t>
  </si>
  <si>
    <t>Sales</t>
  </si>
  <si>
    <t>Turnover</t>
  </si>
  <si>
    <t>Cost</t>
  </si>
  <si>
    <t>City-Trip</t>
  </si>
  <si>
    <t>TourenCross</t>
  </si>
  <si>
    <t>MTB-Downhill</t>
  </si>
  <si>
    <t>MTB-SingleTrail</t>
  </si>
  <si>
    <t>MTB-Monster</t>
  </si>
  <si>
    <t>Size (m²)</t>
  </si>
  <si>
    <t>Base</t>
  </si>
  <si>
    <t>Others</t>
  </si>
  <si>
    <t>Patterns</t>
  </si>
  <si>
    <t>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</si>
</sst>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2" fillId="0" borderId="0" xfId="0" applyFont="1"/>
    <xf numFmtId="0" fontId="3" fillId="0" borderId="3" xfId="0" applyFont="1" applyBorder="1" applyAlignment="1">
      <alignment horizontal="center" vertical="top"/>
    </xf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hPercent val="3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12700">
          <a:solidFill>
            <a:srgbClr val="808080"/>
          </a:solidFill>
          <a:prstDash val="solid"/>
        </a:ln>
      </c:spPr>
    </c:sideWall>
    <c:backWall>
      <c:thickness val="0"/>
      <c:spPr>
        <a:noFill/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2257075860626564E-2"/>
          <c:y val="6.7729083665338641E-2"/>
          <c:w val="0.80230707043080596"/>
          <c:h val="0.6135458167330677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with_plot!$B$3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with_plot!$A$4:$A$15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with_plot!$B$4:$B$15</c:f>
              <c:numCache>
                <c:formatCode>General</c:formatCode>
                <c:ptCount val="12"/>
                <c:pt idx="0">
                  <c:v>10000</c:v>
                </c:pt>
                <c:pt idx="1">
                  <c:v>12000</c:v>
                </c:pt>
                <c:pt idx="2">
                  <c:v>13000</c:v>
                </c:pt>
                <c:pt idx="3">
                  <c:v>9000</c:v>
                </c:pt>
                <c:pt idx="4">
                  <c:v>8000</c:v>
                </c:pt>
                <c:pt idx="5">
                  <c:v>11000</c:v>
                </c:pt>
                <c:pt idx="6">
                  <c:v>12000</c:v>
                </c:pt>
                <c:pt idx="7">
                  <c:v>15000</c:v>
                </c:pt>
                <c:pt idx="8">
                  <c:v>13000</c:v>
                </c:pt>
                <c:pt idx="9">
                  <c:v>11000</c:v>
                </c:pt>
                <c:pt idx="10">
                  <c:v>9000</c:v>
                </c:pt>
                <c:pt idx="11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C-4FDF-8A41-9F1CF1CF9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4219744"/>
        <c:axId val="1"/>
        <c:axId val="0"/>
      </c:bar3DChart>
      <c:catAx>
        <c:axId val="45421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42197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12</xdr:row>
      <xdr:rowOff>19050</xdr:rowOff>
    </xdr:from>
    <xdr:to>
      <xdr:col>10</xdr:col>
      <xdr:colOff>28575</xdr:colOff>
      <xdr:row>26</xdr:row>
      <xdr:rowOff>142875</xdr:rowOff>
    </xdr:to>
    <xdr:graphicFrame macro="">
      <xdr:nvGraphicFramePr>
        <xdr:cNvPr id="1026" name="Diagramm 2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ColWidth="11.42578125" defaultRowHeight="12.75" x14ac:dyDescent="0.2"/>
  <sheetData>
    <row r="1" spans="1:2" x14ac:dyDescent="0.2">
      <c r="A1" s="7" t="s">
        <v>6</v>
      </c>
      <c r="B1">
        <v>7</v>
      </c>
    </row>
    <row r="2" spans="1:2" x14ac:dyDescent="0.2">
      <c r="A2" s="7" t="s">
        <v>7</v>
      </c>
      <c r="B2">
        <v>3</v>
      </c>
    </row>
    <row r="3" spans="1:2" x14ac:dyDescent="0.2">
      <c r="A3" s="7" t="s">
        <v>4</v>
      </c>
      <c r="B3">
        <f>B1+B2</f>
        <v>10</v>
      </c>
    </row>
    <row r="4" spans="1:2" x14ac:dyDescent="0.2">
      <c r="A4" s="7" t="s">
        <v>8</v>
      </c>
      <c r="B4">
        <f>B1^B2</f>
        <v>343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sqref="A1:E1"/>
    </sheetView>
  </sheetViews>
  <sheetFormatPr defaultColWidth="11.42578125" defaultRowHeight="12.75" x14ac:dyDescent="0.2"/>
  <cols>
    <col min="4" max="4" width="22.85546875" customWidth="1"/>
  </cols>
  <sheetData>
    <row r="1" spans="1:5" ht="15.75" x14ac:dyDescent="0.25">
      <c r="A1" s="10" t="s">
        <v>5</v>
      </c>
      <c r="B1" s="11"/>
      <c r="C1" s="11"/>
      <c r="D1" s="11"/>
      <c r="E1" s="11"/>
    </row>
    <row r="3" spans="1:5" x14ac:dyDescent="0.2">
      <c r="A3" s="1" t="s">
        <v>9</v>
      </c>
      <c r="B3" s="2" t="s">
        <v>19</v>
      </c>
      <c r="C3" s="2" t="s">
        <v>20</v>
      </c>
      <c r="D3" s="5" t="s">
        <v>21</v>
      </c>
      <c r="E3">
        <v>20</v>
      </c>
    </row>
    <row r="4" spans="1:5" x14ac:dyDescent="0.2">
      <c r="A4" t="s">
        <v>10</v>
      </c>
      <c r="B4">
        <v>10000</v>
      </c>
      <c r="D4" s="5" t="s">
        <v>22</v>
      </c>
      <c r="E4">
        <v>18</v>
      </c>
    </row>
    <row r="5" spans="1:5" x14ac:dyDescent="0.2">
      <c r="A5" t="s">
        <v>11</v>
      </c>
      <c r="B5">
        <v>12000</v>
      </c>
      <c r="D5" s="6" t="s">
        <v>23</v>
      </c>
      <c r="E5" s="3">
        <f>E3-E4</f>
        <v>2</v>
      </c>
    </row>
    <row r="6" spans="1:5" x14ac:dyDescent="0.2">
      <c r="A6" t="s">
        <v>12</v>
      </c>
      <c r="B6">
        <v>13000</v>
      </c>
    </row>
    <row r="7" spans="1:5" x14ac:dyDescent="0.2">
      <c r="A7" t="s">
        <v>0</v>
      </c>
      <c r="B7">
        <v>9000</v>
      </c>
      <c r="D7" s="5" t="s">
        <v>24</v>
      </c>
      <c r="E7">
        <v>250000</v>
      </c>
    </row>
    <row r="8" spans="1:5" x14ac:dyDescent="0.2">
      <c r="A8" t="s">
        <v>13</v>
      </c>
      <c r="B8">
        <v>8000</v>
      </c>
    </row>
    <row r="9" spans="1:5" x14ac:dyDescent="0.2">
      <c r="A9" t="s">
        <v>14</v>
      </c>
      <c r="B9">
        <v>11000</v>
      </c>
      <c r="D9" s="5"/>
    </row>
    <row r="10" spans="1:5" x14ac:dyDescent="0.2">
      <c r="A10" t="s">
        <v>15</v>
      </c>
      <c r="B10">
        <v>12000</v>
      </c>
    </row>
    <row r="11" spans="1:5" x14ac:dyDescent="0.2">
      <c r="A11" t="s">
        <v>1</v>
      </c>
      <c r="B11">
        <v>15000</v>
      </c>
    </row>
    <row r="12" spans="1:5" x14ac:dyDescent="0.2">
      <c r="A12" t="s">
        <v>2</v>
      </c>
      <c r="B12">
        <v>13000</v>
      </c>
    </row>
    <row r="13" spans="1:5" x14ac:dyDescent="0.2">
      <c r="A13" t="s">
        <v>16</v>
      </c>
      <c r="B13">
        <v>11000</v>
      </c>
    </row>
    <row r="14" spans="1:5" x14ac:dyDescent="0.2">
      <c r="A14" t="s">
        <v>3</v>
      </c>
      <c r="B14">
        <v>9000</v>
      </c>
    </row>
    <row r="15" spans="1:5" x14ac:dyDescent="0.2">
      <c r="A15" s="1" t="s">
        <v>17</v>
      </c>
      <c r="B15" s="1">
        <v>8000</v>
      </c>
    </row>
    <row r="16" spans="1:5" x14ac:dyDescent="0.2">
      <c r="C16" s="3"/>
    </row>
  </sheetData>
  <mergeCells count="1">
    <mergeCell ref="A1:E1"/>
  </mergeCells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2385-1480-408C-BF42-C718BE1AD1D1}">
  <dimension ref="A1:E7"/>
  <sheetViews>
    <sheetView workbookViewId="0">
      <selection activeCell="E7" sqref="A1:E7"/>
    </sheetView>
  </sheetViews>
  <sheetFormatPr defaultRowHeight="12.75" x14ac:dyDescent="0.2"/>
  <sheetData>
    <row r="1" spans="1:5" x14ac:dyDescent="0.2">
      <c r="C1" s="12" t="s">
        <v>42</v>
      </c>
      <c r="D1" s="12"/>
      <c r="E1" s="12"/>
    </row>
    <row r="2" spans="1:5" x14ac:dyDescent="0.2">
      <c r="C2" s="7" t="s">
        <v>39</v>
      </c>
      <c r="D2" s="7" t="s">
        <v>40</v>
      </c>
      <c r="E2" s="7" t="s">
        <v>41</v>
      </c>
    </row>
    <row r="3" spans="1:5" x14ac:dyDescent="0.2">
      <c r="C3" s="7">
        <v>2</v>
      </c>
      <c r="D3" s="7">
        <v>4</v>
      </c>
      <c r="E3" s="7">
        <v>8</v>
      </c>
    </row>
    <row r="4" spans="1:5" x14ac:dyDescent="0.2">
      <c r="A4" s="13" t="s">
        <v>38</v>
      </c>
      <c r="B4">
        <v>10</v>
      </c>
    </row>
    <row r="5" spans="1:5" x14ac:dyDescent="0.2">
      <c r="A5" s="13"/>
      <c r="B5">
        <v>20</v>
      </c>
    </row>
    <row r="6" spans="1:5" x14ac:dyDescent="0.2">
      <c r="A6" s="13"/>
      <c r="B6">
        <v>30</v>
      </c>
    </row>
    <row r="7" spans="1:5" x14ac:dyDescent="0.2">
      <c r="A7" s="13"/>
      <c r="B7">
        <v>40</v>
      </c>
    </row>
  </sheetData>
  <mergeCells count="2">
    <mergeCell ref="C1:E1"/>
    <mergeCell ref="A4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sqref="A1:E1"/>
    </sheetView>
  </sheetViews>
  <sheetFormatPr defaultColWidth="11.42578125" defaultRowHeight="12.75" x14ac:dyDescent="0.2"/>
  <cols>
    <col min="1" max="1" width="12.140625" customWidth="1"/>
    <col min="3" max="3" width="10.28515625" customWidth="1"/>
    <col min="4" max="4" width="22.7109375" customWidth="1"/>
  </cols>
  <sheetData>
    <row r="1" spans="1:6" ht="15.75" x14ac:dyDescent="0.25">
      <c r="A1" s="10" t="s">
        <v>5</v>
      </c>
      <c r="B1" s="11"/>
      <c r="C1" s="11"/>
      <c r="D1" s="11"/>
      <c r="E1" s="11"/>
      <c r="F1" s="4"/>
    </row>
    <row r="3" spans="1:6" x14ac:dyDescent="0.2">
      <c r="A3" s="1" t="s">
        <v>9</v>
      </c>
      <c r="B3" s="2" t="s">
        <v>19</v>
      </c>
      <c r="C3" s="2" t="s">
        <v>20</v>
      </c>
      <c r="D3" s="5" t="s">
        <v>21</v>
      </c>
      <c r="E3">
        <v>20</v>
      </c>
    </row>
    <row r="4" spans="1:6" x14ac:dyDescent="0.2">
      <c r="A4" t="s">
        <v>10</v>
      </c>
      <c r="B4">
        <v>10000</v>
      </c>
      <c r="C4">
        <f>B4*$E$5</f>
        <v>20000</v>
      </c>
      <c r="D4" s="5" t="s">
        <v>22</v>
      </c>
      <c r="E4">
        <v>18</v>
      </c>
    </row>
    <row r="5" spans="1:6" x14ac:dyDescent="0.2">
      <c r="A5" t="s">
        <v>11</v>
      </c>
      <c r="B5">
        <v>12000</v>
      </c>
      <c r="C5">
        <f t="shared" ref="C5:C15" si="0">B5*$E$5</f>
        <v>24000</v>
      </c>
      <c r="D5" s="6" t="s">
        <v>23</v>
      </c>
      <c r="E5" s="3">
        <f>E3-E4</f>
        <v>2</v>
      </c>
    </row>
    <row r="6" spans="1:6" x14ac:dyDescent="0.2">
      <c r="A6" t="s">
        <v>12</v>
      </c>
      <c r="B6">
        <v>13000</v>
      </c>
      <c r="C6">
        <f t="shared" si="0"/>
        <v>26000</v>
      </c>
    </row>
    <row r="7" spans="1:6" x14ac:dyDescent="0.2">
      <c r="A7" t="s">
        <v>0</v>
      </c>
      <c r="B7">
        <v>9000</v>
      </c>
      <c r="C7">
        <f t="shared" si="0"/>
        <v>18000</v>
      </c>
      <c r="D7" s="5" t="s">
        <v>24</v>
      </c>
      <c r="E7">
        <v>250000</v>
      </c>
    </row>
    <row r="8" spans="1:6" x14ac:dyDescent="0.2">
      <c r="A8" t="s">
        <v>13</v>
      </c>
      <c r="B8">
        <v>8000</v>
      </c>
      <c r="C8">
        <f t="shared" si="0"/>
        <v>16000</v>
      </c>
    </row>
    <row r="9" spans="1:6" x14ac:dyDescent="0.2">
      <c r="A9" t="s">
        <v>14</v>
      </c>
      <c r="B9">
        <v>11000</v>
      </c>
      <c r="C9">
        <f t="shared" si="0"/>
        <v>22000</v>
      </c>
      <c r="D9" s="5"/>
    </row>
    <row r="10" spans="1:6" x14ac:dyDescent="0.2">
      <c r="A10" t="s">
        <v>15</v>
      </c>
      <c r="B10">
        <v>12000</v>
      </c>
      <c r="C10">
        <f t="shared" si="0"/>
        <v>24000</v>
      </c>
    </row>
    <row r="11" spans="1:6" x14ac:dyDescent="0.2">
      <c r="A11" t="s">
        <v>1</v>
      </c>
      <c r="B11">
        <v>15000</v>
      </c>
      <c r="C11">
        <f t="shared" si="0"/>
        <v>30000</v>
      </c>
    </row>
    <row r="12" spans="1:6" x14ac:dyDescent="0.2">
      <c r="A12" t="s">
        <v>2</v>
      </c>
      <c r="B12">
        <v>13000</v>
      </c>
      <c r="C12">
        <f t="shared" si="0"/>
        <v>26000</v>
      </c>
    </row>
    <row r="13" spans="1:6" x14ac:dyDescent="0.2">
      <c r="A13" t="s">
        <v>16</v>
      </c>
      <c r="B13">
        <v>11000</v>
      </c>
      <c r="C13">
        <f t="shared" si="0"/>
        <v>22000</v>
      </c>
    </row>
    <row r="14" spans="1:6" x14ac:dyDescent="0.2">
      <c r="A14" t="s">
        <v>3</v>
      </c>
      <c r="B14">
        <v>9000</v>
      </c>
      <c r="C14">
        <f t="shared" si="0"/>
        <v>18000</v>
      </c>
    </row>
    <row r="15" spans="1:6" x14ac:dyDescent="0.2">
      <c r="A15" s="1" t="s">
        <v>17</v>
      </c>
      <c r="B15" s="1">
        <v>8000</v>
      </c>
      <c r="C15">
        <f t="shared" si="0"/>
        <v>16000</v>
      </c>
    </row>
    <row r="16" spans="1:6" x14ac:dyDescent="0.2">
      <c r="C16" s="3"/>
    </row>
  </sheetData>
  <mergeCells count="1">
    <mergeCell ref="A1:E1"/>
  </mergeCells>
  <pageMargins left="0.78740157499999996" right="0.78740157499999996" top="0.984251969" bottom="0.984251969" header="0.4921259845" footer="0.4921259845"/>
  <pageSetup paperSize="9" orientation="portrait" horizontalDpi="4294967292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sqref="A1:E1"/>
    </sheetView>
  </sheetViews>
  <sheetFormatPr defaultColWidth="11.42578125" defaultRowHeight="12.75" x14ac:dyDescent="0.2"/>
  <cols>
    <col min="3" max="3" width="13" customWidth="1"/>
    <col min="4" max="4" width="22.85546875" customWidth="1"/>
  </cols>
  <sheetData>
    <row r="1" spans="1:5" ht="15.75" x14ac:dyDescent="0.25">
      <c r="A1" s="10" t="s">
        <v>5</v>
      </c>
      <c r="B1" s="11"/>
      <c r="C1" s="11"/>
      <c r="D1" s="11"/>
      <c r="E1" s="11"/>
    </row>
    <row r="3" spans="1:5" x14ac:dyDescent="0.2">
      <c r="A3" s="1" t="s">
        <v>9</v>
      </c>
      <c r="B3" s="2" t="s">
        <v>19</v>
      </c>
      <c r="C3" s="2" t="s">
        <v>20</v>
      </c>
      <c r="D3" s="5" t="s">
        <v>21</v>
      </c>
      <c r="E3">
        <v>20</v>
      </c>
    </row>
    <row r="4" spans="1:5" x14ac:dyDescent="0.2">
      <c r="A4" t="s">
        <v>10</v>
      </c>
      <c r="B4">
        <v>10000</v>
      </c>
      <c r="C4">
        <f>B4*$E$5</f>
        <v>20000</v>
      </c>
      <c r="D4" s="5" t="s">
        <v>22</v>
      </c>
      <c r="E4">
        <v>18</v>
      </c>
    </row>
    <row r="5" spans="1:5" x14ac:dyDescent="0.2">
      <c r="A5" t="s">
        <v>11</v>
      </c>
      <c r="B5">
        <v>12000</v>
      </c>
      <c r="C5">
        <f t="shared" ref="C5:C15" si="0">B5*$E$5</f>
        <v>24000</v>
      </c>
      <c r="D5" s="6" t="s">
        <v>23</v>
      </c>
      <c r="E5" s="3">
        <f>E3-E4</f>
        <v>2</v>
      </c>
    </row>
    <row r="6" spans="1:5" x14ac:dyDescent="0.2">
      <c r="A6" t="s">
        <v>12</v>
      </c>
      <c r="B6">
        <v>13000</v>
      </c>
      <c r="C6">
        <f t="shared" si="0"/>
        <v>26000</v>
      </c>
    </row>
    <row r="7" spans="1:5" x14ac:dyDescent="0.2">
      <c r="A7" t="s">
        <v>0</v>
      </c>
      <c r="B7">
        <v>9000</v>
      </c>
      <c r="C7">
        <f t="shared" si="0"/>
        <v>18000</v>
      </c>
      <c r="D7" s="5" t="s">
        <v>24</v>
      </c>
      <c r="E7">
        <v>250000</v>
      </c>
    </row>
    <row r="8" spans="1:5" x14ac:dyDescent="0.2">
      <c r="A8" t="s">
        <v>13</v>
      </c>
      <c r="B8">
        <v>8000</v>
      </c>
      <c r="C8">
        <f t="shared" si="0"/>
        <v>16000</v>
      </c>
    </row>
    <row r="9" spans="1:5" x14ac:dyDescent="0.2">
      <c r="A9" t="s">
        <v>14</v>
      </c>
      <c r="B9">
        <v>11000</v>
      </c>
      <c r="C9">
        <f t="shared" si="0"/>
        <v>22000</v>
      </c>
      <c r="D9" s="5" t="s">
        <v>25</v>
      </c>
      <c r="E9">
        <f>C16-E7</f>
        <v>12000</v>
      </c>
    </row>
    <row r="10" spans="1:5" x14ac:dyDescent="0.2">
      <c r="A10" t="s">
        <v>15</v>
      </c>
      <c r="B10">
        <v>12000</v>
      </c>
      <c r="C10">
        <f t="shared" si="0"/>
        <v>24000</v>
      </c>
    </row>
    <row r="11" spans="1:5" x14ac:dyDescent="0.2">
      <c r="A11" t="s">
        <v>1</v>
      </c>
      <c r="B11">
        <v>15000</v>
      </c>
      <c r="C11">
        <f t="shared" si="0"/>
        <v>30000</v>
      </c>
    </row>
    <row r="12" spans="1:5" x14ac:dyDescent="0.2">
      <c r="A12" t="s">
        <v>2</v>
      </c>
      <c r="B12">
        <v>13000</v>
      </c>
      <c r="C12">
        <f t="shared" si="0"/>
        <v>26000</v>
      </c>
    </row>
    <row r="13" spans="1:5" x14ac:dyDescent="0.2">
      <c r="A13" t="s">
        <v>16</v>
      </c>
      <c r="B13">
        <v>11000</v>
      </c>
      <c r="C13">
        <f t="shared" si="0"/>
        <v>22000</v>
      </c>
    </row>
    <row r="14" spans="1:5" x14ac:dyDescent="0.2">
      <c r="A14" t="s">
        <v>3</v>
      </c>
      <c r="B14">
        <v>9000</v>
      </c>
      <c r="C14">
        <f t="shared" si="0"/>
        <v>18000</v>
      </c>
    </row>
    <row r="15" spans="1:5" x14ac:dyDescent="0.2">
      <c r="A15" s="1" t="s">
        <v>17</v>
      </c>
      <c r="B15" s="1">
        <v>8000</v>
      </c>
      <c r="C15">
        <f t="shared" si="0"/>
        <v>16000</v>
      </c>
    </row>
    <row r="16" spans="1:5" x14ac:dyDescent="0.2">
      <c r="A16" t="s">
        <v>18</v>
      </c>
      <c r="B16">
        <f>SUM(B4:B15)</f>
        <v>131000</v>
      </c>
      <c r="C16" s="3">
        <f>SUM(C4:C15)</f>
        <v>262000</v>
      </c>
    </row>
  </sheetData>
  <mergeCells count="1">
    <mergeCell ref="A1:E1"/>
  </mergeCells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activeCell="A3" sqref="A3"/>
    </sheetView>
  </sheetViews>
  <sheetFormatPr defaultColWidth="11.42578125" defaultRowHeight="12.75" x14ac:dyDescent="0.2"/>
  <cols>
    <col min="3" max="3" width="11" customWidth="1"/>
    <col min="4" max="4" width="23.28515625" customWidth="1"/>
    <col min="5" max="5" width="7.85546875" customWidth="1"/>
  </cols>
  <sheetData>
    <row r="1" spans="1:5" ht="15.75" x14ac:dyDescent="0.25">
      <c r="A1" s="10" t="s">
        <v>5</v>
      </c>
      <c r="B1" s="11"/>
      <c r="C1" s="11"/>
      <c r="D1" s="11"/>
      <c r="E1" s="11"/>
    </row>
    <row r="3" spans="1:5" x14ac:dyDescent="0.2">
      <c r="A3" s="1" t="s">
        <v>9</v>
      </c>
      <c r="B3" s="2" t="s">
        <v>19</v>
      </c>
      <c r="C3" s="2" t="s">
        <v>20</v>
      </c>
      <c r="D3" s="5" t="s">
        <v>21</v>
      </c>
      <c r="E3">
        <v>20</v>
      </c>
    </row>
    <row r="4" spans="1:5" x14ac:dyDescent="0.2">
      <c r="A4" t="s">
        <v>10</v>
      </c>
      <c r="B4">
        <v>10000</v>
      </c>
      <c r="C4">
        <f>B4*$E$5</f>
        <v>20000</v>
      </c>
      <c r="D4" s="5" t="s">
        <v>22</v>
      </c>
      <c r="E4">
        <v>18</v>
      </c>
    </row>
    <row r="5" spans="1:5" x14ac:dyDescent="0.2">
      <c r="A5" t="s">
        <v>11</v>
      </c>
      <c r="B5">
        <v>12000</v>
      </c>
      <c r="C5">
        <f t="shared" ref="C5:C15" si="0">B5*$E$5</f>
        <v>24000</v>
      </c>
      <c r="D5" s="6" t="s">
        <v>23</v>
      </c>
      <c r="E5" s="3">
        <f>E3-E4</f>
        <v>2</v>
      </c>
    </row>
    <row r="6" spans="1:5" x14ac:dyDescent="0.2">
      <c r="A6" t="s">
        <v>12</v>
      </c>
      <c r="B6">
        <v>13000</v>
      </c>
      <c r="C6">
        <f t="shared" si="0"/>
        <v>26000</v>
      </c>
    </row>
    <row r="7" spans="1:5" x14ac:dyDescent="0.2">
      <c r="A7" t="s">
        <v>0</v>
      </c>
      <c r="B7">
        <v>9000</v>
      </c>
      <c r="C7">
        <f t="shared" si="0"/>
        <v>18000</v>
      </c>
      <c r="D7" s="5" t="s">
        <v>26</v>
      </c>
    </row>
    <row r="8" spans="1:5" x14ac:dyDescent="0.2">
      <c r="A8" t="s">
        <v>13</v>
      </c>
      <c r="B8">
        <v>8000</v>
      </c>
      <c r="C8">
        <f t="shared" si="0"/>
        <v>16000</v>
      </c>
      <c r="D8" s="5" t="s">
        <v>27</v>
      </c>
      <c r="E8">
        <v>200000</v>
      </c>
    </row>
    <row r="9" spans="1:5" x14ac:dyDescent="0.2">
      <c r="A9" t="s">
        <v>14</v>
      </c>
      <c r="B9">
        <v>11000</v>
      </c>
      <c r="C9">
        <f t="shared" si="0"/>
        <v>22000</v>
      </c>
      <c r="D9" s="5" t="s">
        <v>28</v>
      </c>
      <c r="E9">
        <v>250000</v>
      </c>
    </row>
    <row r="10" spans="1:5" x14ac:dyDescent="0.2">
      <c r="A10" t="s">
        <v>15</v>
      </c>
      <c r="B10">
        <v>12000</v>
      </c>
      <c r="C10">
        <f t="shared" si="0"/>
        <v>24000</v>
      </c>
    </row>
    <row r="11" spans="1:5" x14ac:dyDescent="0.2">
      <c r="A11" t="s">
        <v>1</v>
      </c>
      <c r="B11">
        <v>15000</v>
      </c>
      <c r="C11">
        <f t="shared" si="0"/>
        <v>30000</v>
      </c>
      <c r="D11" s="5" t="s">
        <v>25</v>
      </c>
      <c r="E11">
        <f>IF(B16&lt;130000,C16-E8,C16-E9)</f>
        <v>12000</v>
      </c>
    </row>
    <row r="12" spans="1:5" x14ac:dyDescent="0.2">
      <c r="A12" t="s">
        <v>2</v>
      </c>
      <c r="B12">
        <v>13000</v>
      </c>
      <c r="C12">
        <f t="shared" si="0"/>
        <v>26000</v>
      </c>
    </row>
    <row r="13" spans="1:5" x14ac:dyDescent="0.2">
      <c r="A13" t="s">
        <v>16</v>
      </c>
      <c r="B13">
        <v>11000</v>
      </c>
      <c r="C13">
        <f t="shared" si="0"/>
        <v>22000</v>
      </c>
    </row>
    <row r="14" spans="1:5" x14ac:dyDescent="0.2">
      <c r="A14" t="s">
        <v>3</v>
      </c>
      <c r="B14">
        <v>9000</v>
      </c>
      <c r="C14">
        <f t="shared" si="0"/>
        <v>18000</v>
      </c>
    </row>
    <row r="15" spans="1:5" x14ac:dyDescent="0.2">
      <c r="A15" s="1" t="s">
        <v>17</v>
      </c>
      <c r="B15" s="1">
        <v>8000</v>
      </c>
      <c r="C15">
        <f t="shared" si="0"/>
        <v>16000</v>
      </c>
    </row>
    <row r="16" spans="1:5" x14ac:dyDescent="0.2">
      <c r="A16" t="s">
        <v>18</v>
      </c>
      <c r="B16">
        <f>SUM(B4:B15)</f>
        <v>131000</v>
      </c>
      <c r="C16" s="3">
        <f>SUM(C4:C15)</f>
        <v>262000</v>
      </c>
    </row>
  </sheetData>
  <mergeCells count="1">
    <mergeCell ref="A1:E1"/>
  </mergeCells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C279-54F3-4BB6-9593-A36725325A97}">
  <dimension ref="B2:E7"/>
  <sheetViews>
    <sheetView workbookViewId="0"/>
  </sheetViews>
  <sheetFormatPr defaultRowHeight="12.75" x14ac:dyDescent="0.2"/>
  <cols>
    <col min="2" max="2" width="17.7109375" customWidth="1"/>
  </cols>
  <sheetData>
    <row r="2" spans="2:5" ht="15" x14ac:dyDescent="0.2">
      <c r="B2" s="8" t="s">
        <v>29</v>
      </c>
      <c r="C2" s="8" t="s">
        <v>30</v>
      </c>
      <c r="D2" s="8" t="s">
        <v>31</v>
      </c>
      <c r="E2" s="8" t="s">
        <v>32</v>
      </c>
    </row>
    <row r="3" spans="2:5" x14ac:dyDescent="0.2">
      <c r="B3" s="9" t="s">
        <v>33</v>
      </c>
      <c r="C3" s="9">
        <v>3</v>
      </c>
      <c r="D3" s="9">
        <v>7797</v>
      </c>
      <c r="E3" s="9">
        <v>4410</v>
      </c>
    </row>
    <row r="4" spans="2:5" x14ac:dyDescent="0.2">
      <c r="B4" s="9" t="s">
        <v>34</v>
      </c>
      <c r="C4" s="9">
        <v>5</v>
      </c>
      <c r="D4" s="9">
        <v>18995</v>
      </c>
      <c r="E4" s="9">
        <v>12500</v>
      </c>
    </row>
    <row r="5" spans="2:5" x14ac:dyDescent="0.2">
      <c r="B5" s="9" t="s">
        <v>35</v>
      </c>
      <c r="C5" s="9">
        <v>1</v>
      </c>
      <c r="D5" s="9">
        <v>5799</v>
      </c>
      <c r="E5" s="9">
        <v>4800</v>
      </c>
    </row>
    <row r="6" spans="2:5" x14ac:dyDescent="0.2">
      <c r="B6" s="9" t="s">
        <v>36</v>
      </c>
      <c r="C6" s="9">
        <v>4</v>
      </c>
      <c r="D6" s="9">
        <v>29996</v>
      </c>
      <c r="E6" s="9">
        <v>19200</v>
      </c>
    </row>
    <row r="7" spans="2:5" x14ac:dyDescent="0.2">
      <c r="B7" s="9" t="s">
        <v>37</v>
      </c>
      <c r="C7" s="9">
        <v>9</v>
      </c>
      <c r="D7" s="9">
        <v>89910</v>
      </c>
      <c r="E7" s="9">
        <v>75600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</vt:lpstr>
      <vt:lpstr>Cost_Revenue</vt:lpstr>
      <vt:lpstr>Cost_Revenue_Painter</vt:lpstr>
      <vt:lpstr>with_plot</vt:lpstr>
      <vt:lpstr>simple</vt:lpstr>
      <vt:lpstr>conditional_cost</vt:lpstr>
      <vt:lpstr>Bike_sales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Peter Roßbach</dc:creator>
  <cp:lastModifiedBy>Administrator</cp:lastModifiedBy>
  <dcterms:created xsi:type="dcterms:W3CDTF">1999-11-19T09:39:10Z</dcterms:created>
  <dcterms:modified xsi:type="dcterms:W3CDTF">2026-09-05T10:52:38Z</dcterms:modified>
</cp:coreProperties>
</file>